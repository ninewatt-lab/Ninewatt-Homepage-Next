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D:\working\waccache\SE1PEPF0000AB6C\EXCELCNV\524e2c2f-ea17-4ecc-a3ec-53b7b15a0db7\"/>
    </mc:Choice>
  </mc:AlternateContent>
  <xr:revisionPtr revIDLastSave="0" documentId="8_{21FCFCE8-10CD-4DEE-B78E-B842AE3A28B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2019-2025 나인와트 실적 통합본 " sheetId="30" r:id="rId1"/>
    <sheet name="25년 프로젝트" sheetId="23" r:id="rId2"/>
    <sheet name="2019-2025 R&amp;D (NTIS참고)" sheetId="28" r:id="rId3"/>
    <sheet name="Sheet1" sheetId="2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23" l="1"/>
  <c r="M84" i="23" s="1"/>
  <c r="I83" i="23"/>
  <c r="M83" i="23" s="1"/>
  <c r="I82" i="23"/>
  <c r="M82" i="23" s="1"/>
  <c r="I81" i="23"/>
  <c r="M81" i="23" s="1"/>
  <c r="I80" i="23"/>
  <c r="M80" i="23" s="1"/>
  <c r="I79" i="23"/>
  <c r="I65" i="23"/>
  <c r="M65" i="23" s="1"/>
  <c r="I62" i="23"/>
  <c r="M62" i="23" s="1"/>
  <c r="I61" i="23"/>
  <c r="M61" i="23" s="1"/>
  <c r="I53" i="23"/>
  <c r="I51" i="23"/>
  <c r="M51" i="23" s="1"/>
  <c r="I50" i="23"/>
  <c r="M50" i="23" s="1"/>
  <c r="I49" i="23"/>
  <c r="M49" i="23" s="1"/>
  <c r="I48" i="23"/>
  <c r="M48" i="23" s="1"/>
  <c r="I46" i="23"/>
  <c r="M46" i="23" s="1"/>
  <c r="I43" i="23"/>
  <c r="M43" i="23" s="1"/>
  <c r="I42" i="23"/>
  <c r="M42" i="23" s="1"/>
  <c r="I39" i="23"/>
  <c r="M39" i="23" s="1"/>
  <c r="I38" i="23"/>
  <c r="M38" i="23" s="1"/>
  <c r="I33" i="23"/>
  <c r="M33" i="23" s="1"/>
  <c r="I32" i="23"/>
  <c r="M32" i="23" s="1"/>
  <c r="I31" i="23"/>
  <c r="M31" i="23" s="1"/>
  <c r="I30" i="23"/>
  <c r="M30" i="23" s="1"/>
  <c r="I29" i="23"/>
  <c r="M29" i="23" s="1"/>
  <c r="I28" i="23"/>
  <c r="M28" i="23" s="1"/>
  <c r="I27" i="23"/>
  <c r="M27" i="23" s="1"/>
  <c r="I26" i="23"/>
  <c r="M26" i="23" s="1"/>
  <c r="I25" i="23"/>
  <c r="M25" i="23" s="1"/>
  <c r="I17" i="23"/>
  <c r="M17" i="23" s="1"/>
  <c r="I13" i="23"/>
  <c r="I12" i="23"/>
  <c r="M11" i="23"/>
  <c r="I10" i="23"/>
  <c r="M10" i="23" s="1"/>
  <c r="I9" i="23"/>
  <c r="M9" i="23" s="1"/>
  <c r="I8" i="23"/>
  <c r="M8" i="23" s="1"/>
  <c r="K5" i="23"/>
  <c r="L4" i="23"/>
  <c r="M4" i="23" s="1"/>
  <c r="L3" i="23"/>
  <c r="M3" i="23" s="1"/>
  <c r="L2" i="23"/>
  <c r="L5" i="23" l="1"/>
  <c r="M2" i="23"/>
  <c r="M5" i="23"/>
</calcChain>
</file>

<file path=xl/sharedStrings.xml><?xml version="1.0" encoding="utf-8"?>
<sst xmlns="http://schemas.openxmlformats.org/spreadsheetml/2006/main" count="1266" uniqueCount="494">
  <si>
    <t>2019년-2025년 프로젝트 이력통합</t>
  </si>
  <si>
    <t>도시/탄소 에너지관리 (WATTI)
에너지 효율 진단 (SAVE_E, 에너지효율화,에너지컨설팅)
제로에너지 건축 (그린플래너)
에너지 신사업(태양광발전사업,ESS)
스마트시티 솔루션(시설물)
글로벌 진출 (해외실증,해외수출,해외MOU)</t>
  </si>
  <si>
    <t>NO</t>
  </si>
  <si>
    <t>사업기간</t>
  </si>
  <si>
    <t>사업유형 
(R&amp;D,사업화,SI,용역,POC 등)</t>
  </si>
  <si>
    <t>내부적 기술기반 분류
(제안서 작성시 참고)
WATTI
ESS
SAVE-E
에너지컨설팅
탄소배출권
글로벌 그린플래너
그린플래너 APP
리파크(시설물관리시스템)</t>
  </si>
  <si>
    <r>
      <rPr>
        <b/>
        <sz val="11"/>
        <color rgb="FF000000"/>
        <rFont val="맑은 고딕"/>
      </rPr>
      <t>사업 구분 분류 기준 (홈페이지 표기)
도시/탄소 에너지관리</t>
    </r>
    <r>
      <rPr>
        <sz val="11"/>
        <color rgb="FF000000"/>
        <rFont val="맑은 고딕"/>
      </rPr>
      <t xml:space="preserve"> (WATTI)
</t>
    </r>
    <r>
      <rPr>
        <b/>
        <sz val="11"/>
        <color rgb="FF000000"/>
        <rFont val="맑은 고딕"/>
      </rPr>
      <t xml:space="preserve">에너지 효율 진단 
</t>
    </r>
    <r>
      <rPr>
        <sz val="11"/>
        <color rgb="FF000000"/>
        <rFont val="맑은 고딕"/>
      </rPr>
      <t xml:space="preserve">(SAVE_E, 에너지효율화, 에너지컨설팅)
</t>
    </r>
    <r>
      <rPr>
        <b/>
        <sz val="11"/>
        <color rgb="FF000000"/>
        <rFont val="맑은 고딕"/>
      </rPr>
      <t xml:space="preserve">제로에너지 건축 </t>
    </r>
    <r>
      <rPr>
        <sz val="11"/>
        <color rgb="FF000000"/>
        <rFont val="맑은 고딕"/>
      </rPr>
      <t xml:space="preserve">(그린플래너웹,앱)
</t>
    </r>
    <r>
      <rPr>
        <b/>
        <sz val="11"/>
        <color rgb="FF000000"/>
        <rFont val="맑은 고딕"/>
      </rPr>
      <t>에너지 신사업</t>
    </r>
    <r>
      <rPr>
        <sz val="11"/>
        <color rgb="FF000000"/>
        <rFont val="맑은 고딕"/>
      </rPr>
      <t xml:space="preserve">(태양광발전사업,ESS)
</t>
    </r>
    <r>
      <rPr>
        <b/>
        <sz val="11"/>
        <color rgb="FF000000"/>
        <rFont val="맑은 고딕"/>
      </rPr>
      <t>스마트시티 솔루션</t>
    </r>
    <r>
      <rPr>
        <sz val="11"/>
        <color rgb="FF000000"/>
        <rFont val="맑은 고딕"/>
      </rPr>
      <t xml:space="preserve">(RE-PARK,버티포트,전기차)
</t>
    </r>
    <r>
      <rPr>
        <b/>
        <sz val="11"/>
        <color rgb="FF000000"/>
        <rFont val="맑은 고딕"/>
      </rPr>
      <t xml:space="preserve">글로벌 진출 </t>
    </r>
    <r>
      <rPr>
        <sz val="11"/>
        <color rgb="FF000000"/>
        <rFont val="맑은 고딕"/>
      </rPr>
      <t>(해외실증,해외수출,해외MOU)</t>
    </r>
  </si>
  <si>
    <t>사업명</t>
  </si>
  <si>
    <t>사업계획서상 연구개발목표(사업화 목표등 입력) (한줄)</t>
  </si>
  <si>
    <t>세부사업내용 (최대 2줄)</t>
  </si>
  <si>
    <t xml:space="preserve"> 총사업규모
(원)</t>
  </si>
  <si>
    <t>주관부처</t>
  </si>
  <si>
    <t>운영기관</t>
  </si>
  <si>
    <t>링크</t>
  </si>
  <si>
    <t>2019.07.01~2021.06.30</t>
  </si>
  <si>
    <t>R&amp;D</t>
  </si>
  <si>
    <t>SAVE-E</t>
  </si>
  <si>
    <t>에너지 효율 진단</t>
  </si>
  <si>
    <t>TIPS, 민간투자주도형 기술창업지원 (빅데이터 분석기반 건물에너지 절감 AI 플랫폼)</t>
  </si>
  <si>
    <t>에너지절감 기술과 결합된 에너지절감 교육 프로세스 개발</t>
  </si>
  <si>
    <t>1. 에너지절감 및 서비스 성능 향상개발
2. 상용화 AI 플랫폼 개발</t>
  </si>
  <si>
    <t>중소기업기술정보진흥원</t>
  </si>
  <si>
    <t>주식회사 블루포인트파트너스</t>
  </si>
  <si>
    <t>기업자율형 상생프로그램 육성기업 한국전력공사 에너지 스타트업 프로그램
-에너지 소비패턴 분석 및 에너지 절감 교육을 통한 에너지 절감 AI 플랫폼</t>
  </si>
  <si>
    <t>한국전기산업진흥회</t>
  </si>
  <si>
    <t>2019.10.07~2019.12.31</t>
  </si>
  <si>
    <t>사업화</t>
  </si>
  <si>
    <t>WATTI</t>
  </si>
  <si>
    <t>글로벌 진출</t>
  </si>
  <si>
    <t>2019년 SW융합 맞춤형 글로벌 지원사업</t>
  </si>
  <si>
    <t>(재)인천테크노파크</t>
  </si>
  <si>
    <t>2019.08.01~2020.07.31</t>
  </si>
  <si>
    <t>2019년 TIPS 해외마케팅 지원사업
민관공동 창업자 발굴육성사업</t>
  </si>
  <si>
    <t>중소벤처기업부</t>
  </si>
  <si>
    <t>창업진흥원</t>
  </si>
  <si>
    <t>2019.11.18~2020.09.18</t>
  </si>
  <si>
    <t>2019년도 한전 에너지분야 사회적경제조직 임팩트투자 에너지 소비패턴 및 사용량 분석기(Edge Computing Controller; ECC) 및 솔루션 개발, 생산 및 판매</t>
  </si>
  <si>
    <t>(재)한국사회투자</t>
  </si>
  <si>
    <t>2019.11.11~2019.12.31</t>
  </si>
  <si>
    <t>기타</t>
  </si>
  <si>
    <t>SW융합클러스터 2.0 데이터 기반 BM연구회 지원사업</t>
  </si>
  <si>
    <t>2019.12.10~2020.06.30</t>
  </si>
  <si>
    <t>SW융합클러스터 2.0 글로벌 산학연 협력사업
독거노인의 디지털정보 접근성 향상을 고려한 디바이스 개발</t>
  </si>
  <si>
    <t>2020.04.13~2020.11.20</t>
  </si>
  <si>
    <t>기업협력군 에너지 동행 사업</t>
  </si>
  <si>
    <t>한국에너지공단</t>
  </si>
  <si>
    <t>한국전력공사</t>
  </si>
  <si>
    <t>2020.05.01~2020.12.31</t>
  </si>
  <si>
    <t>SW융합클러스터 2.0사업 (에너지바우처 연계형 고독사 사전예방 SW개발)</t>
  </si>
  <si>
    <t>2020.02.08~2020.12.31</t>
  </si>
  <si>
    <t>지원사업</t>
  </si>
  <si>
    <t>웰시?</t>
  </si>
  <si>
    <t>사회적기업가 육성사업</t>
  </si>
  <si>
    <t>한국사회적기업진흥원</t>
  </si>
  <si>
    <t>에스이임파워 사회적협동조합</t>
  </si>
  <si>
    <t>2020.04.13~2020.08.12</t>
  </si>
  <si>
    <t>2020년도 연구개발 기획 컨설팅 지원사업 (에너지바우처 연계형 적정 에너지소비 권장서비스)</t>
  </si>
  <si>
    <t>2020.08.01~2021.04.30</t>
  </si>
  <si>
    <t>상생서포터즈 프로그램 육성기업 표준협약
(기업자율형 상생프로그램 한전 KDN 에너지 ICT4.0스타트업 육성사업)</t>
  </si>
  <si>
    <t>한국전기산업진흥회장</t>
  </si>
  <si>
    <t>2020.10.05~2021.06.30</t>
  </si>
  <si>
    <t>기업자율형 상생프로그램 육성기업 표준협약
(기업자율형 상생프로그램 KEPCO 에너지스타트업 지원사업)</t>
  </si>
  <si>
    <t>2021.01.01~2023.12.31</t>
  </si>
  <si>
    <t>에너지컨설팅</t>
  </si>
  <si>
    <t>도시/탄소 에너지관리</t>
  </si>
  <si>
    <t>인공지능 중심 산업융합 집적단지 조성(R&amp;D)
(AI기반의 사전예방 및 빠른 복구가 가능한 에너지 재난대응 플랫폼 개발)</t>
  </si>
  <si>
    <t>확인중</t>
  </si>
  <si>
    <t>과학기술정보통신부</t>
  </si>
  <si>
    <t>서울대학교 산학협력단</t>
  </si>
  <si>
    <t>2021.04.01~2025.12.31</t>
  </si>
  <si>
    <t>에너지 신사업</t>
  </si>
  <si>
    <t>경북지역 풍력에너지 클러스터 인재양성사업 (R&amp;D)</t>
  </si>
  <si>
    <t>한국에너지기술평가원</t>
  </si>
  <si>
    <t>(재)경북테크노파크</t>
  </si>
  <si>
    <t>2021.05.01~2021.12.31</t>
  </si>
  <si>
    <t>WATTI, 그린플래너</t>
  </si>
  <si>
    <t>2021년 핵심산업 클라우드 플래그십 프로젝트 지원과제
(SaaS전환)클라우드 기반 에너지 진단솔루션</t>
  </si>
  <si>
    <t>정보통신산업진흥원</t>
  </si>
  <si>
    <t>2021.10.06~2021.12.15</t>
  </si>
  <si>
    <t>용역</t>
  </si>
  <si>
    <t>제로에너지 건축</t>
  </si>
  <si>
    <t>공공건축물 에너지소비량 공개 및 성능개선 사업 제도 기술 지원 용역</t>
  </si>
  <si>
    <t>한국건설기술연구원</t>
  </si>
  <si>
    <t>2021.04.26~2021.11.19</t>
  </si>
  <si>
    <t>2021.06.01~2021.10.31</t>
  </si>
  <si>
    <t>2021 DATA-SATARS(데이터 활용 사업화 지원)사업
에너지 투자연계 AI 플랫폼</t>
  </si>
  <si>
    <t>한국데이터산업진흥원</t>
  </si>
  <si>
    <t>2021.02.01~2021.04.30</t>
  </si>
  <si>
    <t>한국지역난방공사 에너지 친환경 기업자율형 지원사업 'The minimize'</t>
  </si>
  <si>
    <t>(재)함께일하는재단</t>
  </si>
  <si>
    <t>2021.04.15~2021.12.31</t>
  </si>
  <si>
    <t>한전 KDN 사회적경제 지원 경영개선 지원사업</t>
  </si>
  <si>
    <t>한전KDN</t>
  </si>
  <si>
    <t>(사)함께만드는세상</t>
  </si>
  <si>
    <t>2021.05.10~2021.08.13</t>
  </si>
  <si>
    <t>H온드림 스타트업 그라운드</t>
  </si>
  <si>
    <t>(주)엠와이소셜컴퍼니</t>
  </si>
  <si>
    <t>2021.06.01~2021.11.30</t>
  </si>
  <si>
    <t>SW융합클러스터 2.0사업
SaaS기반 물 음용량 데이터 관리 서비스</t>
  </si>
  <si>
    <t>2021.09.23~2022.04.30</t>
  </si>
  <si>
    <t>기업자율형 상생프로그램 육성기업
2021년 한전 KDN-STARS 기업</t>
  </si>
  <si>
    <t>2022.04.01~2025.03.31</t>
  </si>
  <si>
    <t>도시의 탄소감축량과 녹색금융을 융합한 그린리모델링 매칭 서비스</t>
  </si>
  <si>
    <t>2022.04.15~2024.12.31</t>
  </si>
  <si>
    <t>그린리모델링 효율향상을 위한 디지털진단 모듈화 기술</t>
  </si>
  <si>
    <t>국토교통과학기술진흥원</t>
  </si>
  <si>
    <t>그린벤처 프로그램 사업화</t>
  </si>
  <si>
    <t>2022.04.29~2022.11.30</t>
  </si>
  <si>
    <t>에너지 컨설팅</t>
  </si>
  <si>
    <t>2022년 기업협력군 에너지동행 사업</t>
  </si>
  <si>
    <t>2022.12.15~2023.05.31</t>
  </si>
  <si>
    <t>데이터종자</t>
  </si>
  <si>
    <t>대-스타 해결사 플랫폼 4차산업</t>
  </si>
  <si>
    <t>2022.11.01~2022.12.31</t>
  </si>
  <si>
    <t>인천SOS랩 플랫폼화 기반 구축 과제 수행 기업</t>
  </si>
  <si>
    <t>2022.02.25~2022.11.30</t>
  </si>
  <si>
    <t>사업지원</t>
  </si>
  <si>
    <t>기업자율형 상생프로그램 지원협약
제6회 공간정보 활용 창업 아이디어 공모전 사업화 지원</t>
  </si>
  <si>
    <t>한국국토정보공사</t>
  </si>
  <si>
    <t>대중소 농어업협력재단</t>
  </si>
  <si>
    <t>2022.05.01~2023.01.31</t>
  </si>
  <si>
    <t>비대면 스타트업 육성사업 창업기업</t>
  </si>
  <si>
    <t>2022.06.01~2022.11.30</t>
  </si>
  <si>
    <t>데이터바우처</t>
  </si>
  <si>
    <t>2022년 데이터바우처 지원사업</t>
  </si>
  <si>
    <t>2022.06.03~2022.12.15</t>
  </si>
  <si>
    <t>2022년 공공데이터 기업매칭 지원사업</t>
  </si>
  <si>
    <t>한국지능정보사회진흥원</t>
  </si>
  <si>
    <t>2022.09.06~2023.02.28</t>
  </si>
  <si>
    <t>서울창업허브 대기업 협력 프로그램
대기업 LS일렉트릭 협력프로그램</t>
  </si>
  <si>
    <t>서울산업진흥원</t>
  </si>
  <si>
    <t>2022.12.01~2023.05.31</t>
  </si>
  <si>
    <t>2022년 인천서구강소특구 특화성장패키지</t>
  </si>
  <si>
    <t>연구개발특구진흥재단</t>
  </si>
  <si>
    <t>2022.12.26~2023.05.31</t>
  </si>
  <si>
    <t>한국서부발전 상생형 창업-벤처기업 지원사업</t>
  </si>
  <si>
    <t>한국서부발전</t>
  </si>
  <si>
    <t>2022.12.20~2023.04.30</t>
  </si>
  <si>
    <t>2022년 한국지역난방공사 상생형 창업-벤처기업 지원사업</t>
  </si>
  <si>
    <t>(사)함꼐만드는세상</t>
  </si>
  <si>
    <t>2022.10.26~2023.02.28</t>
  </si>
  <si>
    <t>PoC</t>
  </si>
  <si>
    <t>그린플래너</t>
  </si>
  <si>
    <t>SBA-KITA 영국 스마트시티 PoC</t>
  </si>
  <si>
    <t>2023.04.01~2026.12.31</t>
  </si>
  <si>
    <t>건물에너지 소비 데이터 통합관리 기반 구축</t>
  </si>
  <si>
    <t>국토교통부</t>
  </si>
  <si>
    <t>2023.12.10~2026.12.09</t>
  </si>
  <si>
    <t>스마트시티 솔루션</t>
  </si>
  <si>
    <t>스케일업 팁스 투자연계 (TIPS)</t>
  </si>
  <si>
    <t>(주)나인와트</t>
  </si>
  <si>
    <t>2023.04.18~2023.08.30</t>
  </si>
  <si>
    <t>스마트진단 MVP 3.0 내 Energy Reporting Service 고도화 용역</t>
  </si>
  <si>
    <t>엘에스일렉트릭</t>
  </si>
  <si>
    <t>2023.04.19~2023.12.13</t>
  </si>
  <si>
    <t>디지털 공사비정보 알고리즘 개발</t>
  </si>
  <si>
    <t>2023.12.01~2024.01.31</t>
  </si>
  <si>
    <t>2023년 공공건축물 에너지 소비량 데이터 검증-분석</t>
  </si>
  <si>
    <t>에스큐아이소프트(주)</t>
  </si>
  <si>
    <t>2023.05.18~2025.12.31</t>
  </si>
  <si>
    <t>2023년 공공건축물 그린리모델링 종합사업지원</t>
  </si>
  <si>
    <t>국토안전관리원</t>
  </si>
  <si>
    <t>2023.01.01~2023.12.31</t>
  </si>
  <si>
    <t>2023 기업광고 지원사업</t>
  </si>
  <si>
    <t>2023.03.23~2023.11.30</t>
  </si>
  <si>
    <t>RE:PARK</t>
  </si>
  <si>
    <t>2023 실증 상용화 프로그램</t>
  </si>
  <si>
    <t>2023.05.09~2023.08.11</t>
  </si>
  <si>
    <t>2023 1차 IP 나래 프로그램</t>
  </si>
  <si>
    <t>2023.04.20~2023.11.30</t>
  </si>
  <si>
    <t>에너지진단</t>
  </si>
  <si>
    <t>[인천스타트업파크]Smart-X City(인천도시공사)</t>
  </si>
  <si>
    <t>인천지식재산센터</t>
  </si>
  <si>
    <t>2023.04.20~2023.11.24</t>
  </si>
  <si>
    <t>[인천스타트업파크] 스케일업 챌린지랩</t>
  </si>
  <si>
    <t>2023.05.01~2024.02.29</t>
  </si>
  <si>
    <t>2023년 창업도약 패키지 지원사업(도시단위 에너지효율화 솔루션)</t>
  </si>
  <si>
    <t>2023.07.06~2023.12.31</t>
  </si>
  <si>
    <t>강남구청 실증 지원사업</t>
  </si>
  <si>
    <t>2023.07.31~2023.11.30</t>
  </si>
  <si>
    <t>2023년 인공지능(AI)비즈니스 모델 연구회</t>
  </si>
  <si>
    <t>인천테크노파크</t>
  </si>
  <si>
    <t>2023.08.07~2023.11.30</t>
  </si>
  <si>
    <t>인천스타트업파크 Smart-X energy [LS일렉트릭] 프로그램</t>
  </si>
  <si>
    <t>2023.09.01~2023.11.30</t>
  </si>
  <si>
    <t>상생형 창업-벤처기업 지원사업 (KEPCO 스타트업 오픈이노베이션 지원사업)</t>
  </si>
  <si>
    <t>2023.09.01~2023.11.15</t>
  </si>
  <si>
    <t>지역 간 비즈니스 모델 실증 지원사업</t>
  </si>
  <si>
    <t>2023.09.18~2023.11.30</t>
  </si>
  <si>
    <t>글로벌진출</t>
  </si>
  <si>
    <t>상생형 창업-벤처기업 지원사업 (2023년 에너지ICT분야 창업-벤처기업 해외판로 개척 지원사업(해외인증 사업)</t>
  </si>
  <si>
    <t>상생형 창업-벤처기업 지원사업 (2023년 에너지ICT분야 창업-벤처기업 해외판로 개척 지원사업(해외시장 조사)</t>
  </si>
  <si>
    <t>2023.11.01~2024.07.31</t>
  </si>
  <si>
    <t>모빌리티</t>
  </si>
  <si>
    <t>스마트시티</t>
  </si>
  <si>
    <t>미래 모빌리티 허브의 에너지 효율화 관리를 위한 알고리즘 및 시뮬레이션 개발 및 시각화</t>
  </si>
  <si>
    <t>2023 2차 기술개발제품 공공기관 실증지원 사업</t>
  </si>
  <si>
    <t>현대엔지비(주)</t>
  </si>
  <si>
    <t>2023.06.01~2023.11.30</t>
  </si>
  <si>
    <t>(KSC)데이터 기반 건물에너지 성능진단 및 그린리모델링 솔루션</t>
  </si>
  <si>
    <t>2023.12.08~2024.12.13</t>
  </si>
  <si>
    <t>서울 스마트도시 솔루션 해외(런던) 실증 지원사업</t>
  </si>
  <si>
    <t>서울디지털재단</t>
  </si>
  <si>
    <t>2024.07.01~2027.04</t>
  </si>
  <si>
    <t>건물에너지</t>
  </si>
  <si>
    <t>협력거점형 국토교통 국제협력 연구개발 사업
(도시 건물 넷 제로 혁신적 전환 위한 AI어시스턴트 건물 에너지 분석 기술 및 플랫폼 개발)</t>
  </si>
  <si>
    <t>2024.03.29~2024.12.31</t>
  </si>
  <si>
    <t>2024년 농식품 기술창업 엑셀러레이팅 협약</t>
  </si>
  <si>
    <t>(주)탭엔젤파트너스</t>
  </si>
  <si>
    <t>2024.07.24~2024.11.29</t>
  </si>
  <si>
    <t>2024년 에너지 ICT분야 창업-벤처기업 해외판로 개척 지원사업</t>
  </si>
  <si>
    <t>2024.05.01~2024.12.17</t>
  </si>
  <si>
    <t>글로벌 기업 협업 프로그램 (ChatGPT 기반 건물 전력사용량 예측 및 ESS 최적 제어 솔루션</t>
  </si>
  <si>
    <t>2024.05.01~2024.11.30</t>
  </si>
  <si>
    <t>2024년 해외실증(PoC) 지원 프로그램 창업기업</t>
  </si>
  <si>
    <t>2024.11.22~2025.04</t>
  </si>
  <si>
    <t>2024년 한국전력거래소 창업ㆍ벤처기업 지원사업(선착순, 10개사)</t>
  </si>
  <si>
    <t>한국전력거래소</t>
  </si>
  <si>
    <t>2024.11.22~2025.02.28</t>
  </si>
  <si>
    <t>2024년 한국토지주택공사 상생형 창업·벤처기업 지원사업</t>
  </si>
  <si>
    <t>2024.05.27~2024.12.31</t>
  </si>
  <si>
    <t>ESS</t>
  </si>
  <si>
    <t>AI기반 ESS 수요자원 관리 플랫폼 구축(미래 지역에너지 생태계 활성화 사업)</t>
  </si>
  <si>
    <t>2025.03.01~2026.02.28</t>
  </si>
  <si>
    <t>2025년 1차 과학기술분야 R&amp;D 대체인력 활용 지원사업</t>
  </si>
  <si>
    <t>한국여성과학기술인육성재단</t>
  </si>
  <si>
    <t>2025년 그린벤처 유망기업 등 글로벌 진출지원 프로그램(상반기) 제1차 참가기업 모집</t>
  </si>
  <si>
    <t>2025.03.17~2025.12.31</t>
  </si>
  <si>
    <t>2025 기후테크 스타트업 육성사업</t>
  </si>
  <si>
    <t>경기창조경제혁신센터</t>
  </si>
  <si>
    <t>2025.03.31~2025.08.31</t>
  </si>
  <si>
    <t>데이터</t>
  </si>
  <si>
    <t>(SEI) Beyond X Enable 고도화 목적의 데이터 정제/가공 IT 용역 계약 건</t>
  </si>
  <si>
    <t>LS 일렉트릭</t>
  </si>
  <si>
    <t>현재 수행 프로젝트</t>
  </si>
  <si>
    <t>전체</t>
  </si>
  <si>
    <t>25년 목표</t>
  </si>
  <si>
    <t>25년 예상</t>
  </si>
  <si>
    <t xml:space="preserve"> 차이 </t>
  </si>
  <si>
    <t>25년 중점 신규 프로젝트</t>
  </si>
  <si>
    <t>25년 수행 예정 프로젝트</t>
  </si>
  <si>
    <t>보조금</t>
  </si>
  <si>
    <t>매출</t>
  </si>
  <si>
    <t>수주목표 37억</t>
  </si>
  <si>
    <t>합계</t>
  </si>
  <si>
    <t>우선순위</t>
  </si>
  <si>
    <t>구분</t>
  </si>
  <si>
    <t>공고마감일</t>
  </si>
  <si>
    <t>사업구분</t>
  </si>
  <si>
    <t>책임자</t>
  </si>
  <si>
    <t>실무PM</t>
  </si>
  <si>
    <t>참여인원</t>
  </si>
  <si>
    <t xml:space="preserve"> 총사업규모
(천원)</t>
  </si>
  <si>
    <t xml:space="preserve">  정부지원금
(매출액) </t>
  </si>
  <si>
    <t xml:space="preserve"> 분담금
(비용)</t>
  </si>
  <si>
    <t>선정확률</t>
  </si>
  <si>
    <t xml:space="preserve"> 25년 수입 </t>
  </si>
  <si>
    <t>비고</t>
  </si>
  <si>
    <t>선정규모</t>
  </si>
  <si>
    <t>0.수행중</t>
  </si>
  <si>
    <t>기존</t>
  </si>
  <si>
    <t>　</t>
  </si>
  <si>
    <t>그린벤처 R&amp;D (그린리모델링 대상 건물 선별 및 성능개선을 위한 도시단위 광역진단 기술)</t>
  </si>
  <si>
    <t>김영록</t>
  </si>
  <si>
    <t>22.04.01~25.03.31</t>
  </si>
  <si>
    <t>그린벤처 사업화 (도시의 탄소감축량과 녹색금융을 융합한 그린리모델링 매칭 서비스)</t>
  </si>
  <si>
    <t>SCALEUP TIPS (에너지맵 기반 수요반응형 모듈러 버티포트 기술 개발)</t>
  </si>
  <si>
    <t>유성호</t>
  </si>
  <si>
    <t>23.12.15~26.12.15</t>
  </si>
  <si>
    <t>건물부문 탄소중립 가속화를 위한 건물에너지 소비 데이터 통합관리 기반기술 개발</t>
  </si>
  <si>
    <t>박상린</t>
  </si>
  <si>
    <t>이소운</t>
  </si>
  <si>
    <t>정홍,박소연,송채린
,전우성</t>
  </si>
  <si>
    <t>1.지원중</t>
  </si>
  <si>
    <t>신규</t>
  </si>
  <si>
    <t>수열원 변동 대응 대규모 중앙집중형 수열에너지 실증플랜트 기술 개발</t>
  </si>
  <si>
    <t>이동혁</t>
  </si>
  <si>
    <t>환경부</t>
  </si>
  <si>
    <t>한국환경산업기술원</t>
  </si>
  <si>
    <t>2025. 04. 01 – 2029. 12. 31(57개월)</t>
  </si>
  <si>
    <t>신기후체제 대응 환경기술개발(리빙랩 기반의 폭염, 한파 등 시민 체감도 평가기술 및 대응대책 평가기술)</t>
  </si>
  <si>
    <t>’25.4월~’28.12월(4년)</t>
  </si>
  <si>
    <t>4.지원예정</t>
  </si>
  <si>
    <t xml:space="preserve">스케일업 기술사업화 프로그램 사업 </t>
  </si>
  <si>
    <t>산업통상자원부</t>
  </si>
  <si>
    <t>한국산업기술진흥원</t>
  </si>
  <si>
    <t>경쟁공모</t>
  </si>
  <si>
    <t>용역과제</t>
  </si>
  <si>
    <t xml:space="preserve"> 총사업비(천원)</t>
  </si>
  <si>
    <t xml:space="preserve">  정부지원금 </t>
  </si>
  <si>
    <t xml:space="preserve"> 분담금(비용)</t>
  </si>
  <si>
    <t>경기도 RE100플랫폼</t>
  </si>
  <si>
    <t>경기도</t>
  </si>
  <si>
    <t>경기연구원</t>
  </si>
  <si>
    <t>~24.09.30</t>
  </si>
  <si>
    <t>1.지원서작성중</t>
  </si>
  <si>
    <t>25년 미래 분산에너지신산업 (나인와트(주관)+라온(참여)+경기도(지자체)+고양시(지자체), LS일렉트릭+한전)</t>
  </si>
  <si>
    <t>신정환(P)</t>
  </si>
  <si>
    <t>에너지관리공단</t>
  </si>
  <si>
    <t>~25년 12월</t>
  </si>
  <si>
    <t>8개 내외</t>
  </si>
  <si>
    <t xml:space="preserve">89억 규모 </t>
  </si>
  <si>
    <t>국토안전원 AI과제 (나인와트+건기연)</t>
  </si>
  <si>
    <t>김랑(P)</t>
  </si>
  <si>
    <t>1개</t>
  </si>
  <si>
    <t>LS일렉트릭 용역</t>
  </si>
  <si>
    <t>LS일렉트릭</t>
  </si>
  <si>
    <t>신사업팀</t>
  </si>
  <si>
    <t>~25년 10월</t>
  </si>
  <si>
    <t>기타 SI, 용역사업 (건기연 등)</t>
  </si>
  <si>
    <t>글로벌 SaaS 육성 프로젝트</t>
  </si>
  <si>
    <t>정보통신산업진흥원(클라우드산업팀)</t>
  </si>
  <si>
    <t>Data-global (데이터기업 해외진출 지원)</t>
  </si>
  <si>
    <t>한국데이터산업진흥원(활용확산팀)</t>
  </si>
  <si>
    <t>협약체결일로부터 6개월</t>
  </si>
  <si>
    <t>7개사</t>
  </si>
  <si>
    <t>기후테크 스타트업 육성사업 참여기업 모집공고</t>
  </si>
  <si>
    <t xml:space="preserve">기술연구소 이전필수, </t>
  </si>
  <si>
    <t>5개사</t>
  </si>
  <si>
    <t>5.미지원</t>
  </si>
  <si>
    <t>그린리모델링 진단사업</t>
  </si>
  <si>
    <t>오세민</t>
  </si>
  <si>
    <t>사전 컨소시엄 구성실패</t>
  </si>
  <si>
    <t>26년 지원예정</t>
  </si>
  <si>
    <t>정부과제</t>
  </si>
  <si>
    <t>정부지원금</t>
  </si>
  <si>
    <t>탈락</t>
  </si>
  <si>
    <t>24.10.30~</t>
  </si>
  <si>
    <t>2024년 창업ㆍ벤처기업 지식재산권(IP) 출원 지원사업</t>
  </si>
  <si>
    <t>박정한</t>
  </si>
  <si>
    <t>24.11.07</t>
  </si>
  <si>
    <t>[한국도로공사] 2024년도 상생형 창업·벤처기업 지원사업</t>
  </si>
  <si>
    <t>https://win-win.or.kr/kr/board/notice_enter/boardView.do?bbsIdx=53865&amp;pageIndex=1&amp;searchCondition=&amp;searchKeyword=</t>
  </si>
  <si>
    <t>한국표준협회</t>
  </si>
  <si>
    <t>~2025.02.28</t>
  </si>
  <si>
    <t>24.10.18</t>
  </si>
  <si>
    <t>한국토지주택공사(스마트주택기술처)</t>
  </si>
  <si>
    <t>2024.11.08 ~ 2025.04.30</t>
  </si>
  <si>
    <t>완료</t>
  </si>
  <si>
    <t>24.12.31</t>
  </si>
  <si>
    <t>2024년 중소기업 해외판로개척 지원사업 (선착순)</t>
  </si>
  <si>
    <t>한국원자력연료주식회사</t>
  </si>
  <si>
    <t>ESG소통부 강보승 대리</t>
  </si>
  <si>
    <t>https://www.winwinnuri.or.kr/pg/businessView.do</t>
  </si>
  <si>
    <t>2.제안서평가단계</t>
  </si>
  <si>
    <t>25.02.13</t>
  </si>
  <si>
    <t>2025년 과학기술정보통신부 GovTech 창업기업 지원사업 모집 공고 (경기도 광주시 REPARK)</t>
  </si>
  <si>
    <t>김다혜(P)</t>
  </si>
  <si>
    <t>25.02.05</t>
  </si>
  <si>
    <t>2025년 에코스타트업 지원사업 예비창업자ㆍ창업기업 모집 공고</t>
  </si>
  <si>
    <t>박정한(P)</t>
  </si>
  <si>
    <t>25.02.06</t>
  </si>
  <si>
    <t>2025년 탄소중립분야 아이디어 거래ㆍ사업화 지원사업</t>
  </si>
  <si>
    <t>특허청</t>
  </si>
  <si>
    <t>한국발명진흥회</t>
  </si>
  <si>
    <t>25.02.14</t>
  </si>
  <si>
    <t>아기유니콘200육성사업 (20억 이상 투자유치, 창업7년이내, 도약패키지 수혜여부 무관, 중복불가_3개월 미만확인, 7년미만)</t>
  </si>
  <si>
    <t>김영록(P)</t>
  </si>
  <si>
    <t>중소벤처기업부(벤처정책과)</t>
  </si>
  <si>
    <t>창업진흥원(민관협력창업실)</t>
  </si>
  <si>
    <t>협약체결일로부터 12개월</t>
  </si>
  <si>
    <t>창업사업화 중복확인 필수</t>
  </si>
  <si>
    <t xml:space="preserve"> 50개사내외 </t>
  </si>
  <si>
    <t>25.02.17</t>
  </si>
  <si>
    <t>2025년 SW고성장클럽 사업 지원기업 모집공고</t>
  </si>
  <si>
    <t>전우성(P)</t>
  </si>
  <si>
    <t>유망 SaaS 개발·육성 지원_클라우드 서비스(SaaS) 개발 및 사업화 지원</t>
  </si>
  <si>
    <t>24.11.01</t>
  </si>
  <si>
    <t>2024 녹색기후산업 글로벌 사업화 지원사업</t>
  </si>
  <si>
    <t>녹색융합센터</t>
  </si>
  <si>
    <t>~2024.11.1</t>
  </si>
  <si>
    <t>AI바우처(글로벌, 나인와트-시나네(일)</t>
  </si>
  <si>
    <t>김다혜</t>
  </si>
  <si>
    <t>AI바우처(글로벌, 나인와트-ㅇㅇㅇㅇ(프)</t>
  </si>
  <si>
    <t>김랑</t>
  </si>
  <si>
    <t>25.01.31</t>
  </si>
  <si>
    <t>[인천] 2025년 해외전시회 개별참가 지원사업 참가기업 모집 공고</t>
  </si>
  <si>
    <t>마케팅센터 박미경 대리</t>
  </si>
  <si>
    <t>25.02.25</t>
  </si>
  <si>
    <t>2025년 초격차 스타트업 1000+ 프로젝트 Micro DIPS(핵심사업화, AX육성) 창업기업 모집공고</t>
  </si>
  <si>
    <t>인공지능융합사업단</t>
  </si>
  <si>
    <t>https://www.k-startup.go.kr/web/contents/bizpbanc-ongoing.do?schM=view&amp;pbancSn=171807&amp;page=2&amp;schStr=regist&amp;pbancEndYn=N</t>
  </si>
  <si>
    <t>기타(금융지원,사업지원,전시회 등)</t>
  </si>
  <si>
    <t>25.01.09~</t>
  </si>
  <si>
    <t>2025년 중소기업 매출채권팩토링 지원계획 공고</t>
  </si>
  <si>
    <t>2025년 코리아 나라장터 엑스포</t>
  </si>
  <si>
    <t>곽우민</t>
  </si>
  <si>
    <t>나라장터</t>
  </si>
  <si>
    <t>제출완료</t>
  </si>
  <si>
    <t>25.02.12</t>
  </si>
  <si>
    <t>2025년 1차 과학기술분야 R&amp;D 대체인력 활용 지원사업 모집 공고</t>
  </si>
  <si>
    <t>https://www.wbridge.or.kr/platform/wrk/replcjo/reqst/getWrkReplcjoView.do?WRK_BSNS_SN=100051</t>
  </si>
  <si>
    <t>25.02.28</t>
  </si>
  <si>
    <t>2025년도 고융창출장려금 및 고용안정장려금 사업공고</t>
  </si>
  <si>
    <t>고용노동부</t>
  </si>
  <si>
    <t>https://www.moel.go.kr/news/notice/noticeView.do?bbs_seq=20241202108</t>
  </si>
  <si>
    <t>6.사업검토</t>
  </si>
  <si>
    <t>2025년 녹색자산유동화증권 이차보전 지원사업</t>
  </si>
  <si>
    <t>25.02.21</t>
  </si>
  <si>
    <t>국토교통 분야 ｢혁신 프리미어 1000｣ 추천기업 선정 공고</t>
  </si>
  <si>
    <t>3.지원검토</t>
  </si>
  <si>
    <t>2024년도 한국자산관리공사 자산매입(동산) 후 임대 지원 프로그램 참여 안내</t>
  </si>
  <si>
    <t>한국자산관리공사</t>
  </si>
  <si>
    <t>https://oncorp.kamco.or.kr:9449/index.jsp</t>
  </si>
  <si>
    <t>2025년 인천 “글로벌 IP스타기업 육성(IP기반 해외진출지원)” 모집 공고</t>
  </si>
  <si>
    <t>https://bizok.incheon.go.kr/open_content/support.do?act=detail&amp;policyno=3335&amp;pgno=2</t>
  </si>
  <si>
    <t>CNCITY-인큐버스 MOU</t>
  </si>
  <si>
    <t>해외협력, 해외오픈이노베이션</t>
  </si>
  <si>
    <t>CETP(호라이즌 유럽)</t>
  </si>
  <si>
    <t>글로벌 협력 R&amp;D 기획 프로그램(MIT ILP)</t>
  </si>
  <si>
    <t>3개</t>
  </si>
  <si>
    <t>MS SOFT</t>
  </si>
  <si>
    <t>자체수행사업</t>
  </si>
  <si>
    <t xml:space="preserve">  매출액</t>
  </si>
  <si>
    <t>수행확률</t>
  </si>
  <si>
    <t>1.진행중</t>
  </si>
  <si>
    <t>자체수행</t>
  </si>
  <si>
    <t>태양광(3.8M)</t>
  </si>
  <si>
    <t>신정환</t>
  </si>
  <si>
    <t>자체 진행</t>
  </si>
  <si>
    <t>일본 watti 서비스</t>
  </si>
  <si>
    <t>건물 매입 후 그린리모델링 자체 진행 (원룸)</t>
  </si>
  <si>
    <t>BEMS</t>
  </si>
  <si>
    <t>정홍</t>
  </si>
  <si>
    <t>건물관리 서비스 (임대인,임차인,관리업체)</t>
  </si>
  <si>
    <t>re:park</t>
  </si>
  <si>
    <t>경기도 광주, 유윤진(국가정원)</t>
  </si>
  <si>
    <t>R&amp;D구분</t>
  </si>
  <si>
    <t xml:space="preserve">사업 구분
</t>
  </si>
  <si>
    <t>세부사업내용 (최대 3줄)</t>
  </si>
  <si>
    <t>2019-2021</t>
  </si>
  <si>
    <t>창업성장기술개발(일반,R&amp;D)</t>
  </si>
  <si>
    <t>에너지절감</t>
  </si>
  <si>
    <t xml:space="preserve">
빅데이터 분석기반 건물에너지 절감 AI플랫폼</t>
  </si>
  <si>
    <t xml:space="preserve">500,000,000원 (625,000,000원)  </t>
  </si>
  <si>
    <t xml:space="preserve">중소벤처기업부 </t>
  </si>
  <si>
    <t>2020-2023</t>
  </si>
  <si>
    <t>인공지능중심산업융합집적단지조성(R&amp;D)</t>
  </si>
  <si>
    <t>에너지/재난/AI</t>
  </si>
  <si>
    <t>AI 기반의 사전예방 및 빠른 복구가 가능한 에너지 재난대응 플랫폼 개발</t>
  </si>
  <si>
    <t>에너지 재난 사전 예방 및 빠른 복구를 위한 분산에너지시스템 적용 모니터링, 데이터관리, 분석, 지능형 복구 등의 기술이 포함되는 인공지능 기반의 에너지 재난 대응 기술 개발</t>
  </si>
  <si>
    <t>1. 에너지 시스템 모니터링 및 상태 측정 지원 데이터 처리 시스템 기술
2. 사고 예방을 위한 에너지 상태분석 및 예측 시스템 개발
3. 지능형 에너지 시스템 복구 기술 개발</t>
  </si>
  <si>
    <t xml:space="preserve">3,129,000,000원 (3,774,837,000원)  </t>
  </si>
  <si>
    <t>서울대학교</t>
  </si>
  <si>
    <t xml:space="preserve">중소기업R&amp;D역량제고(R&amp;D) </t>
  </si>
  <si>
    <t>에너지바우처</t>
  </si>
  <si>
    <t>에너지바우처 연계 관리서비스용 무선통신 열계량 시스템 개발</t>
  </si>
  <si>
    <t>블루투스 5.0 기반 지역난방 세대용 열량계 무선 원격검침 시스템 개발</t>
  </si>
  <si>
    <t>1. 블루투스 5.0 MESH 기반 지역난방용 열계량 시스템을 통한 데이터 수집/서비스 개발 
2. 에너지바우처의 효율적 사용을 위한 이해관계자 편의향상 서비스 개발 
3. 각 주민센터에서 보유한 지자체 지원 생활보호대상자, 각종 지원을 위한 지역 소속 대상자의 정보와 연계하는 서비스 개발</t>
  </si>
  <si>
    <t xml:space="preserve"> 30,000,000 (37,500,000)</t>
  </si>
  <si>
    <t>한국에너지기술연구원</t>
  </si>
  <si>
    <t>2022-2025</t>
  </si>
  <si>
    <t>그린뉴딜유망기업100</t>
  </si>
  <si>
    <t>탄소배출권 활용을 통한 그린리모델링 시장 활성화
: 그린리모델링을 통한 탄소배출권 확보 방법론 및 고객 모집
: 탄소배출권 활용 그린리모델링 플랫폼 유럽 진출
: 부동산 연계 소비자 마케팅</t>
  </si>
  <si>
    <t>탄소배출권 활용 그린리모델링 플랫폼 유럽 진출 · 주요내용1 : (사업모델) 탄소배출권 확보 프로세스 효율화, 탄소금융펀드 조성 · 주요내용2 : (사업모델) ESG 펀드 등 자금확보 다각화 · 주요내용3 : (해외) 탄소배출권 기반 그린리모델링 유럽 사업 1건 · 주요내용4 : (플랫폼) 2차년도 결과 반영된 플랫폼 운영 및 추가 실증</t>
  </si>
  <si>
    <t>500,000,000 (625,000,000)</t>
  </si>
  <si>
    <t xml:space="preserve"> 중소벤처기업부</t>
  </si>
  <si>
    <t xml:space="preserve">중소기업기술혁신개발 </t>
  </si>
  <si>
    <t>WATT/버티포트</t>
  </si>
  <si>
    <t>에너지맵 기반 수요반응형 모듈러 버티포트 기술 개발(스케일업 TIPS)</t>
  </si>
  <si>
    <t>도시 단위 3차원으로 시각화된 에너지 맵을 구축하고, 에너지 맵에 기반하여 버티포트를 설치 가능한 최적의 위치를 제공하는 솔루션 개발</t>
  </si>
  <si>
    <t>에너지맵 기반 수요반응형 모듈러 버티포트 기술 개발 (VP-EMC)
: 도시 에너지/탄소 계획
: UAM 버티포트 최적 설치/운영
: 에너지 수요반응 설계</t>
  </si>
  <si>
    <t>1,140,000,000
(1,425,000,000원)</t>
  </si>
  <si>
    <t>2023-2024</t>
  </si>
  <si>
    <t>에너지인력양성사업(에특</t>
  </si>
  <si>
    <t>에너지사업</t>
  </si>
  <si>
    <t>경북지역 풍력에너지 클러스터 인재양성사업</t>
  </si>
  <si>
    <t>국내외 풍력관련 최신정보 조사분석을 통한 관련기관에 제공- 에너지산업융복합단지 조성사업의 세부과제와의 연계협력</t>
  </si>
  <si>
    <t>(서류 찾아봐야 함)</t>
  </si>
  <si>
    <t xml:space="preserve">1,923,000,000원 (3,924,306,000원)  </t>
  </si>
  <si>
    <t>(재단)경북테크노파크</t>
  </si>
  <si>
    <t>국토교통기술사업화를위한이어달리기사업</t>
  </si>
  <si>
    <t>동일 비용투자 시 탄소감축 효과가 높은 그린리모델링 대상건물 선정 기술 개발(진단)</t>
  </si>
  <si>
    <t>1. AI기반 건물에너지 디지털진단 및 도시 에너지 소비량 예측-에너지 효율화 
2. 공간정보 기반 지도 구축 및 정보플랫폼 개발 
3. 사업화 타당성 및 실현가능성 분석</t>
  </si>
  <si>
    <t xml:space="preserve">350,500,000원 (463,126,000원)  </t>
  </si>
  <si>
    <t xml:space="preserve">그린뉴딜유망기업100 </t>
  </si>
  <si>
    <t>그린리모델링 대상 건물 선별 및 성능개선을 위한 도시단위 광역진단 기술</t>
  </si>
  <si>
    <t>탄소중립 실현을 위한 그린리모델링 도시단위 광역진단 플랫폼 구현</t>
  </si>
  <si>
    <t>1. 도시 데이터 수집 저장 유지관리 체계 구축 
2. 데이터 기반의 도시단위 광역 진단 모델 개발 
3. 그린리모델링 생태계 조성을 위한 정책 마련</t>
  </si>
  <si>
    <t xml:space="preserve"> 500,000,000 (625,000,000)</t>
  </si>
  <si>
    <t>2023-2026</t>
  </si>
  <si>
    <t xml:space="preserve">건물에너지소비데이터통합관리기반구축  </t>
  </si>
  <si>
    <t>건물에너지/탄소중립</t>
  </si>
  <si>
    <t>건물부문 2050 탄소중립 기반 구축 및 이행 가속화를 위한 건물에너지 소비 데이터 통합관리 기반기술 개발</t>
  </si>
  <si>
    <t>1. 유관 데이터 연계, 소비성능 평가지표 및 평가모델 설계, 데이터통합관리시스템 설계 
2. 유관 데이터 통합 및 검증, 소비성능 평가 방법론 정립, 데이터통합관리시스템 구축
3. 건물에너지 소비데이터 통합관리시스템(I-BED) 구축 및 활용기반 마련</t>
  </si>
  <si>
    <t>15200000000
(17,103,068,000)</t>
  </si>
  <si>
    <t xml:space="preserve">국토교통부 </t>
  </si>
  <si>
    <t xml:space="preserve">한국건설기술연구원 </t>
  </si>
  <si>
    <t>2024-2027</t>
  </si>
  <si>
    <t>협력거점형 국토교통 국제협력 연구개발사업</t>
  </si>
  <si>
    <t>도시 건물 넷 제로 혁신적 전환 위한 AI어시스턴트 건물 에너지 분석 기술 및 플랫폼 개발</t>
  </si>
  <si>
    <t>공간정보를 통합한 도시 건물 에너지의 데이터 기반 분석 기술 구현과 3D realistic 가시화 및 AI 어시스턴트 기능 기반 실용적인 인터페이스를 제공하는 도시 건물 에너지 정보제공 플랫폼 개발</t>
  </si>
  <si>
    <t>1. (데이터) 건축물 고유키 기반 데이터 맵핑 및 집계 기술 개발
 1-1. 건물 에너지 성능 특성정보 DB화
2. (분석기술) 월별 에너지 소비 데이터 기반 도시 건물 에너지 평가기술 개발
 2-1. 개별 건물 에너지 분석 기술 개발
 2-2. 도시 건물 에너지 집단 분석 기술 개발
3. (시스템) 도시 건물 에너지 분석 시스템 개발
 3-1. UBEM 플랫폼 개발
 3-2. AI어시스턴트 기술 개발</t>
  </si>
  <si>
    <t>1,312,500,000
(1,456,000,000)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</si>
</sst>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4">
    <font>
      <sz val="11"/>
      <color theme="1"/>
      <name val="맑은 고딕"/>
      <scheme val="minor"/>
    </font>
    <font>
      <sz val="11"/>
      <color rgb="FF000000"/>
      <name val="맑은 고딕"/>
    </font>
    <font>
      <u/>
      <sz val="11"/>
      <color theme="10"/>
      <name val="맑은 고딕"/>
      <scheme val="minor"/>
    </font>
    <font>
      <sz val="10"/>
      <color rgb="FF000000"/>
      <name val="맑은 고딕"/>
    </font>
    <font>
      <b/>
      <sz val="11"/>
      <color rgb="FF000000"/>
      <name val="맑은 고딕"/>
    </font>
    <font>
      <b/>
      <sz val="10"/>
      <color rgb="FF000000"/>
      <name val="맑은 고딕"/>
    </font>
    <font>
      <b/>
      <sz val="10"/>
      <color rgb="FFFFFFFF"/>
      <name val="맑은 고딕"/>
    </font>
    <font>
      <u/>
      <sz val="11"/>
      <color theme="11"/>
      <name val="맑은 고딕"/>
      <scheme val="minor"/>
    </font>
    <font>
      <sz val="11"/>
      <color rgb="FF000000"/>
      <name val="맑은 고딕"/>
      <scheme val="minor"/>
    </font>
    <font>
      <sz val="11"/>
      <color rgb="FF000000"/>
      <name val="맑은 고딕"/>
      <charset val="1"/>
    </font>
    <font>
      <sz val="15"/>
      <color rgb="FF000000"/>
      <name val="맑은 고딕"/>
    </font>
    <font>
      <sz val="15"/>
      <color theme="1"/>
      <name val="맑은 고딕"/>
      <scheme val="minor"/>
    </font>
    <font>
      <b/>
      <sz val="12"/>
      <color rgb="FF000000"/>
      <name val="맑은 고딕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A9D08E"/>
      </right>
      <top/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3" fontId="5" fillId="0" borderId="6" xfId="0" applyNumberFormat="1" applyFont="1" applyBorder="1">
      <alignment vertical="center"/>
    </xf>
    <xf numFmtId="3" fontId="5" fillId="0" borderId="7" xfId="0" applyNumberFormat="1" applyFont="1" applyBorder="1">
      <alignment vertical="center"/>
    </xf>
    <xf numFmtId="3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>
      <alignment vertical="center"/>
    </xf>
    <xf numFmtId="3" fontId="5" fillId="0" borderId="9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>
      <alignment vertical="center"/>
    </xf>
    <xf numFmtId="9" fontId="3" fillId="0" borderId="1" xfId="0" applyNumberFormat="1" applyFont="1" applyBorder="1">
      <alignment vertical="center"/>
    </xf>
    <xf numFmtId="164" fontId="3" fillId="0" borderId="1" xfId="0" applyNumberFormat="1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9" fontId="5" fillId="0" borderId="1" xfId="0" applyNumberFormat="1" applyFont="1" applyBorder="1">
      <alignment vertical="center"/>
    </xf>
    <xf numFmtId="0" fontId="5" fillId="0" borderId="14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3" fontId="3" fillId="0" borderId="12" xfId="0" applyNumberFormat="1" applyFont="1" applyBorder="1">
      <alignment vertical="center"/>
    </xf>
    <xf numFmtId="9" fontId="3" fillId="0" borderId="12" xfId="0" applyNumberFormat="1" applyFont="1" applyBorder="1">
      <alignment vertical="center"/>
    </xf>
    <xf numFmtId="0" fontId="3" fillId="0" borderId="18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9" fontId="3" fillId="0" borderId="10" xfId="0" applyNumberFormat="1" applyFont="1" applyBorder="1">
      <alignment vertical="center"/>
    </xf>
    <xf numFmtId="0" fontId="3" fillId="0" borderId="11" xfId="0" applyFont="1" applyBorder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9" fontId="3" fillId="0" borderId="0" xfId="0" applyNumberFormat="1" applyFont="1">
      <alignment vertical="center"/>
    </xf>
    <xf numFmtId="0" fontId="3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3" fontId="5" fillId="0" borderId="12" xfId="0" applyNumberFormat="1" applyFont="1" applyBorder="1">
      <alignment vertical="center"/>
    </xf>
    <xf numFmtId="9" fontId="5" fillId="0" borderId="12" xfId="0" applyNumberFormat="1" applyFont="1" applyBorder="1">
      <alignment vertical="center"/>
    </xf>
    <xf numFmtId="0" fontId="5" fillId="0" borderId="18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7" xfId="0" applyFont="1" applyBorder="1">
      <alignment vertical="center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9" fontId="5" fillId="0" borderId="0" xfId="0" applyNumberFormat="1" applyFont="1">
      <alignment vertical="center"/>
    </xf>
    <xf numFmtId="0" fontId="3" fillId="0" borderId="21" xfId="0" applyFont="1" applyBorder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3" fontId="3" fillId="0" borderId="12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3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3" xfId="0" applyBorder="1" applyAlignment="1">
      <alignment vertical="center" wrapText="1"/>
    </xf>
    <xf numFmtId="3" fontId="0" fillId="0" borderId="0" xfId="0" applyNumberFormat="1" applyAlignment="1">
      <alignment horizontal="left" vertical="center"/>
    </xf>
    <xf numFmtId="0" fontId="0" fillId="4" borderId="13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2" xfId="0" applyFill="1" applyBorder="1" applyAlignment="1">
      <alignment vertical="center" wrapText="1"/>
    </xf>
    <xf numFmtId="0" fontId="0" fillId="4" borderId="14" xfId="0" applyFill="1" applyBorder="1">
      <alignment vertical="center"/>
    </xf>
    <xf numFmtId="0" fontId="1" fillId="4" borderId="12" xfId="0" applyFont="1" applyFill="1" applyBorder="1">
      <alignment vertical="center"/>
    </xf>
    <xf numFmtId="0" fontId="13" fillId="4" borderId="0" xfId="0" applyFont="1" applyFill="1">
      <alignment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0" fillId="0" borderId="23" xfId="0" applyBorder="1">
      <alignment vertical="center"/>
    </xf>
    <xf numFmtId="0" fontId="0" fillId="4" borderId="23" xfId="0" applyFill="1" applyBorder="1">
      <alignment vertical="center"/>
    </xf>
    <xf numFmtId="3" fontId="0" fillId="4" borderId="1" xfId="0" applyNumberFormat="1" applyFill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center"/>
    </xf>
  </cellXfs>
  <cellStyles count="3">
    <cellStyle name="Hyperlink" xfId="1" hidden="1" xr:uid="{00000000-0005-0000-0000-000031000000}"/>
    <cellStyle name="열어 본 하이퍼링크" xfId="2" builtinId="9" hidden="1"/>
    <cellStyle name="표준" xfId="0" builtinId="0"/>
  </cellStyles>
  <dxfs count="151"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  <color rgb="FF000000"/>
      </font>
      <fill>
        <patternFill>
          <bgColor rgb="FFFFFFFF"/>
        </patternFill>
      </fill>
      <alignment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wrapText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</dxf>
    <dxf>
      <font>
        <b/>
        <color rgb="FFFFFFFF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/>
        <bottom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FFFFFF"/>
        </patternFill>
      </fill>
    </dxf>
    <dxf>
      <font>
        <color rgb="FF000000"/>
      </font>
      <fill>
        <patternFill>
          <bgColor theme="9" tint="0.599963377788628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59996337778862885"/>
        </patternFill>
      </fill>
    </dxf>
    <dxf>
      <font>
        <b/>
        <color rgb="FFFFFFFF"/>
      </font>
      <fill>
        <patternFill>
          <bgColor theme="9"/>
        </patternFill>
      </fill>
      <border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FFFFFF"/>
        </patternFill>
      </fill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</dxf>
    <dxf>
      <font>
        <b/>
        <color rgb="FFFFFFFF"/>
      </font>
      <fill>
        <patternFill>
          <bgColor rgb="FF70AD47"/>
        </patternFill>
      </fill>
      <border>
        <left style="thin">
          <color rgb="FF000000"/>
        </left>
        <right style="thin">
          <color rgb="FF000000"/>
        </right>
        <top/>
        <bottom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2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2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E2EFDA"/>
        </patternFill>
      </fill>
    </dxf>
    <dxf>
      <font>
        <b/>
        <color rgb="FFFFFFFF"/>
      </font>
      <fill>
        <patternFill>
          <bgColor rgb="FF70AD47"/>
        </patternFill>
      </fill>
      <border>
        <left style="thin">
          <color rgb="FF000000"/>
        </left>
        <right style="thin">
          <color rgb="FF000000"/>
        </right>
        <top/>
        <bottom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rgb="FFFFFFFF"/>
        </patternFill>
      </fill>
    </dxf>
    <dxf>
      <font>
        <b/>
        <color rgb="FFFFFFFF"/>
      </font>
      <fill>
        <patternFill>
          <bgColor rgb="FFFFFFFF"/>
        </patternFill>
      </fill>
      <border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FFFFFF"/>
        </patternFill>
      </fill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</dxf>
    <dxf>
      <font>
        <b/>
        <color rgb="FFFFFFFF"/>
      </font>
      <fill>
        <patternFill>
          <bgColor rgb="FF70AD47"/>
        </patternFill>
      </fill>
      <border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FFFFFF"/>
        </patternFill>
      </fill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>
          <bgColor theme="9" tint="0.79995117038483843"/>
        </patternFill>
      </fill>
    </dxf>
    <dxf>
      <font>
        <b/>
        <color rgb="FFFFFFFF"/>
      </font>
      <fill>
        <patternFill>
          <bgColor rgb="FF70AD47"/>
        </patternFill>
      </fill>
      <border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sz val="12"/>
        <color rgb="FF000000"/>
      </font>
      <fill>
        <patternFill patternType="solid">
          <fgColor indexed="64"/>
          <bgColor theme="2" tint="-0.249977111117893"/>
        </patternFill>
      </fill>
      <border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41CB9F-7741-4EED-A8B9-52CA0D3E42BA}" name="표3_4867" displayName="표3_4867" ref="B5:L65" totalsRowShown="0" headerRowDxfId="150" dataDxfId="149">
  <autoFilter ref="B5:L65" xr:uid="{0D7B972E-B59B-4A82-BBEE-783C1309D174}"/>
  <tableColumns count="11">
    <tableColumn id="1" xr3:uid="{BCB0869B-DB5E-487D-8F7B-0F0D1C7D98F4}" name="사업기간" dataDxfId="148"/>
    <tableColumn id="5" xr3:uid="{AB0EA768-2B80-4B3A-9ACA-D4167DAE5EEB}" name="사업유형 _x000a_(R&amp;D,사업화,SI,용역,POC 등)" dataDxfId="147"/>
    <tableColumn id="6" xr3:uid="{86722556-67EF-4B49-8219-4D60AE85138E}" name="내부적 기술기반 분류_x000a_(제안서 작성시 참고)_x000a_WATTI_x000a_ESS_x000a_SAVE-E_x000a_에너지컨설팅_x000a_탄소배출권_x000a_글로벌 그린플래너_x000a_그린플래너 APP_x000a_리파크(시설물관리시스템)" dataDxfId="146"/>
    <tableColumn id="2" xr3:uid="{55454E62-B8B5-4CD1-A798-A25F2FEC267D}" name="사업 구분 분류 기준 (홈페이지 표기)_x000a_도시/탄소 에너지관리 (WATTI)_x000a_에너지 효율 진단 _x000a_(SAVE_E, 에너지효율화, 에너지컨설팅)_x000a_제로에너지 건축 (그린플래너웹,앱)_x000a_에너지 신사업(태양광발전사업,ESS)_x000a_스마트시티 솔루션(RE-PARK,버티포트,전기차)_x000a_글로벌 진출 (해외실증,해외수출,해외MOU)" dataDxfId="145"/>
    <tableColumn id="4" xr3:uid="{4B0D5A71-7EBE-4CD0-9D01-72E26DA811E8}" name="사업명" dataDxfId="144"/>
    <tableColumn id="17" xr3:uid="{7DD74205-513C-42A5-8BB1-6780C3BB5C9E}" name="사업계획서상 연구개발목표(사업화 목표등 입력) (한줄)" dataDxfId="143"/>
    <tableColumn id="3" xr3:uid="{51453157-7368-4258-AFEE-898CC2067B37}" name="세부사업내용 (최대 2줄)" dataDxfId="142"/>
    <tableColumn id="9" xr3:uid="{8D4E9F62-1341-4AAD-AC41-C4FC3C3F7474}" name=" 총사업규모_x000a_(원)" dataDxfId="141"/>
    <tableColumn id="14" xr3:uid="{3EE77221-CF16-4A17-ABD5-AC14D7E625C0}" name="주관부처" dataDxfId="140"/>
    <tableColumn id="15" xr3:uid="{745CFC00-AB51-4D30-818D-406862CFE80D}" name="운영기관" dataDxfId="139"/>
    <tableColumn id="19" xr3:uid="{A6F4F0EF-A8D7-48AF-A1F0-3D115B76766B}" name="링크" dataDxfId="13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8000000}" name="표1_58" displayName="표1_58" ref="A71:S75" totalsRowShown="0" headerRowDxfId="137" dataDxfId="136">
  <autoFilter ref="A71:S75" xr:uid="{00000000-0009-0000-0100-000007000000}"/>
  <tableColumns count="19">
    <tableColumn id="1" xr3:uid="{00000000-0010-0000-1800-000001000000}" name="우선순위" dataDxfId="135"/>
    <tableColumn id="2" xr3:uid="{00000000-0010-0000-1800-000002000000}" name="구분" dataDxfId="134"/>
    <tableColumn id="3" xr3:uid="{00000000-0010-0000-1800-000003000000}" name="공고마감일" dataDxfId="133"/>
    <tableColumn id="4" xr3:uid="{00000000-0010-0000-1800-000004000000}" name="사업명" dataDxfId="132"/>
    <tableColumn id="5" xr3:uid="{00000000-0010-0000-1800-000005000000}" name="사업구분" dataDxfId="131"/>
    <tableColumn id="6" xr3:uid="{00000000-0010-0000-1800-000006000000}" name="책임자" dataDxfId="130"/>
    <tableColumn id="7" xr3:uid="{00000000-0010-0000-1800-000007000000}" name="실무PM" dataDxfId="129"/>
    <tableColumn id="8" xr3:uid="{00000000-0010-0000-1800-000008000000}" name="참여인원" dataDxfId="128"/>
    <tableColumn id="9" xr3:uid="{00000000-0010-0000-1800-000009000000}" name=" 총사업규모_x000a_(천원)" dataDxfId="127"/>
    <tableColumn id="10" xr3:uid="{00000000-0010-0000-1800-00000A000000}" name="  정부지원금_x000a_(매출액) " dataDxfId="126"/>
    <tableColumn id="11" xr3:uid="{00000000-0010-0000-1800-00000B000000}" name=" 분담금_x000a_(비용)" dataDxfId="125"/>
    <tableColumn id="12" xr3:uid="{00000000-0010-0000-1800-00000C000000}" name="선정확률" dataDxfId="124"/>
    <tableColumn id="13" xr3:uid="{00000000-0010-0000-1800-00000D000000}" name=" 25년 수입 " dataDxfId="123"/>
    <tableColumn id="14" xr3:uid="{00000000-0010-0000-1800-00000E000000}" name="주관부처" dataDxfId="122"/>
    <tableColumn id="15" xr3:uid="{00000000-0010-0000-1800-00000F000000}" name="운영기관" dataDxfId="121"/>
    <tableColumn id="16" xr3:uid="{00000000-0010-0000-1800-000010000000}" name="사업기간" dataDxfId="120"/>
    <tableColumn id="17" xr3:uid="{00000000-0010-0000-1800-000011000000}" name="비고" dataDxfId="119"/>
    <tableColumn id="18" xr3:uid="{00000000-0010-0000-1800-000012000000}" name="선정규모" dataDxfId="118"/>
    <tableColumn id="19" xr3:uid="{00000000-0010-0000-1800-000013000000}" name="링크" dataDxfId="117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9000000}" name="표1_5" displayName="표1_5" ref="A58:S67" totalsRowShown="0" headerRowDxfId="116" dataDxfId="115">
  <autoFilter ref="A58:S67" xr:uid="{00000000-0009-0000-0100-000004000000}"/>
  <tableColumns count="19">
    <tableColumn id="1" xr3:uid="{00000000-0010-0000-1900-000001000000}" name="우선순위" dataDxfId="114"/>
    <tableColumn id="2" xr3:uid="{00000000-0010-0000-1900-000002000000}" name="구분" dataDxfId="113"/>
    <tableColumn id="3" xr3:uid="{00000000-0010-0000-1900-000003000000}" name="공고마감일" dataDxfId="112"/>
    <tableColumn id="4" xr3:uid="{00000000-0010-0000-1900-000004000000}" name="사업명" dataDxfId="111"/>
    <tableColumn id="5" xr3:uid="{00000000-0010-0000-1900-000005000000}" name="사업구분" dataDxfId="110"/>
    <tableColumn id="6" xr3:uid="{00000000-0010-0000-1900-000006000000}" name="책임자" dataDxfId="109"/>
    <tableColumn id="7" xr3:uid="{00000000-0010-0000-1900-000007000000}" name="실무PM" dataDxfId="108"/>
    <tableColumn id="8" xr3:uid="{00000000-0010-0000-1900-000008000000}" name="참여인원" dataDxfId="107"/>
    <tableColumn id="9" xr3:uid="{00000000-0010-0000-1900-000009000000}" name=" 총사업규모_x000a_(천원)" dataDxfId="106"/>
    <tableColumn id="10" xr3:uid="{00000000-0010-0000-1900-00000A000000}" name="  정부지원금_x000a_(매출액) " dataDxfId="105"/>
    <tableColumn id="11" xr3:uid="{00000000-0010-0000-1900-00000B000000}" name=" 분담금_x000a_(비용)" dataDxfId="104"/>
    <tableColumn id="12" xr3:uid="{00000000-0010-0000-1900-00000C000000}" name="선정확률" dataDxfId="103"/>
    <tableColumn id="13" xr3:uid="{00000000-0010-0000-1900-00000D000000}" name=" 25년 수입 " dataDxfId="102"/>
    <tableColumn id="14" xr3:uid="{00000000-0010-0000-1900-00000E000000}" name="주관부처" dataDxfId="101"/>
    <tableColumn id="15" xr3:uid="{00000000-0010-0000-1900-00000F000000}" name="운영기관" dataDxfId="100"/>
    <tableColumn id="16" xr3:uid="{00000000-0010-0000-1900-000010000000}" name="사업기간" dataDxfId="99"/>
    <tableColumn id="17" xr3:uid="{00000000-0010-0000-1900-000011000000}" name="비고" dataDxfId="98"/>
    <tableColumn id="18" xr3:uid="{00000000-0010-0000-1900-000012000000}" name="선정규모" dataDxfId="97"/>
    <tableColumn id="19" xr3:uid="{00000000-0010-0000-1900-000013000000}" name="링크" dataDxfId="9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A000000}" name="표3" displayName="표3" ref="A7:S21" totalsRowShown="0" headerRowDxfId="95" dataDxfId="94">
  <autoFilter ref="A7:S21" xr:uid="{00000000-0009-0000-0100-000003000000}"/>
  <tableColumns count="19">
    <tableColumn id="1" xr3:uid="{00000000-0010-0000-1A00-000001000000}" name="우선순위" dataDxfId="93"/>
    <tableColumn id="2" xr3:uid="{00000000-0010-0000-1A00-000002000000}" name="구분" dataDxfId="92"/>
    <tableColumn id="3" xr3:uid="{00000000-0010-0000-1A00-000003000000}" name="공고마감일" dataDxfId="91"/>
    <tableColumn id="4" xr3:uid="{00000000-0010-0000-1A00-000004000000}" name="사업명" dataDxfId="90"/>
    <tableColumn id="5" xr3:uid="{00000000-0010-0000-1A00-000005000000}" name="사업구분" dataDxfId="89"/>
    <tableColumn id="6" xr3:uid="{00000000-0010-0000-1A00-000006000000}" name="책임자" dataDxfId="88"/>
    <tableColumn id="7" xr3:uid="{00000000-0010-0000-1A00-000007000000}" name="실무PM" dataDxfId="87"/>
    <tableColumn id="8" xr3:uid="{00000000-0010-0000-1A00-000008000000}" name="참여인원" dataDxfId="86"/>
    <tableColumn id="9" xr3:uid="{00000000-0010-0000-1A00-000009000000}" name=" 총사업규모_x000a_(천원)" dataDxfId="85"/>
    <tableColumn id="10" xr3:uid="{00000000-0010-0000-1A00-00000A000000}" name="  정부지원금_x000a_(매출액) " dataDxfId="84"/>
    <tableColumn id="11" xr3:uid="{00000000-0010-0000-1A00-00000B000000}" name=" 분담금_x000a_(비용)" dataDxfId="83"/>
    <tableColumn id="12" xr3:uid="{00000000-0010-0000-1A00-00000C000000}" name="선정확률" dataDxfId="82"/>
    <tableColumn id="13" xr3:uid="{00000000-0010-0000-1A00-00000D000000}" name=" 25년 수입 " dataDxfId="81"/>
    <tableColumn id="14" xr3:uid="{00000000-0010-0000-1A00-00000E000000}" name="주관부처" dataDxfId="80"/>
    <tableColumn id="15" xr3:uid="{00000000-0010-0000-1A00-00000F000000}" name="운영기관" dataDxfId="79"/>
    <tableColumn id="16" xr3:uid="{00000000-0010-0000-1A00-000010000000}" name="사업기간" dataDxfId="78"/>
    <tableColumn id="17" xr3:uid="{00000000-0010-0000-1A00-000011000000}" name="비고" dataDxfId="77"/>
    <tableColumn id="18" xr3:uid="{00000000-0010-0000-1A00-000012000000}" name="선정규모" dataDxfId="76"/>
    <tableColumn id="19" xr3:uid="{00000000-0010-0000-1A00-000013000000}" name="링크" dataDxfId="75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B000000}" name="표2" displayName="표2" ref="A24:S33" totalsRowShown="0" headerRowDxfId="74" dataDxfId="73">
  <autoFilter ref="A24:S33" xr:uid="{00000000-0009-0000-0100-000002000000}"/>
  <sortState xmlns:xlrd2="http://schemas.microsoft.com/office/spreadsheetml/2017/richdata2" ref="A25:S33">
    <sortCondition ref="A24:A33"/>
  </sortState>
  <tableColumns count="19">
    <tableColumn id="1" xr3:uid="{00000000-0010-0000-1B00-000001000000}" name="우선순위" dataDxfId="72"/>
    <tableColumn id="2" xr3:uid="{00000000-0010-0000-1B00-000002000000}" name="구분" dataDxfId="71"/>
    <tableColumn id="3" xr3:uid="{00000000-0010-0000-1B00-000003000000}" name="공고마감일" dataDxfId="70"/>
    <tableColumn id="4" xr3:uid="{00000000-0010-0000-1B00-000004000000}" name="사업명" dataDxfId="69"/>
    <tableColumn id="5" xr3:uid="{00000000-0010-0000-1B00-000005000000}" name="사업구분" dataDxfId="68"/>
    <tableColumn id="6" xr3:uid="{00000000-0010-0000-1B00-000006000000}" name="책임자" dataDxfId="67"/>
    <tableColumn id="7" xr3:uid="{00000000-0010-0000-1B00-000007000000}" name="실무PM" dataDxfId="66"/>
    <tableColumn id="8" xr3:uid="{00000000-0010-0000-1B00-000008000000}" name="참여인원" dataDxfId="65"/>
    <tableColumn id="9" xr3:uid="{00000000-0010-0000-1B00-000009000000}" name=" 총사업비(천원)" dataDxfId="64"/>
    <tableColumn id="10" xr3:uid="{00000000-0010-0000-1B00-00000A000000}" name="  정부지원금 " dataDxfId="63"/>
    <tableColumn id="11" xr3:uid="{00000000-0010-0000-1B00-00000B000000}" name=" 분담금(비용)" dataDxfId="62"/>
    <tableColumn id="12" xr3:uid="{00000000-0010-0000-1B00-00000C000000}" name="선정확률" dataDxfId="61"/>
    <tableColumn id="13" xr3:uid="{00000000-0010-0000-1B00-00000D000000}" name=" 25년 수입 " dataDxfId="60"/>
    <tableColumn id="14" xr3:uid="{00000000-0010-0000-1B00-00000E000000}" name="주관부처" dataDxfId="59"/>
    <tableColumn id="15" xr3:uid="{00000000-0010-0000-1B00-00000F000000}" name="운영기관" dataDxfId="58"/>
    <tableColumn id="16" xr3:uid="{00000000-0010-0000-1B00-000010000000}" name="사업기간" dataDxfId="57"/>
    <tableColumn id="17" xr3:uid="{00000000-0010-0000-1B00-000011000000}" name="비고" dataDxfId="56"/>
    <tableColumn id="18" xr3:uid="{00000000-0010-0000-1B00-000012000000}" name="선정규모" dataDxfId="55"/>
    <tableColumn id="19" xr3:uid="{00000000-0010-0000-1B00-000013000000}" name="링크" dataDxfId="5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C000000}" name="표1" displayName="표1" ref="A37:S53" totalsRowShown="0" headerRowDxfId="53" dataDxfId="52">
  <autoFilter ref="A37:S53" xr:uid="{00000000-0009-0000-0100-000001000000}"/>
  <sortState xmlns:xlrd2="http://schemas.microsoft.com/office/spreadsheetml/2017/richdata2" ref="A38:S53">
    <sortCondition ref="A37:A53"/>
  </sortState>
  <tableColumns count="19">
    <tableColumn id="1" xr3:uid="{00000000-0010-0000-1C00-000001000000}" name="우선순위" dataDxfId="51"/>
    <tableColumn id="2" xr3:uid="{00000000-0010-0000-1C00-000002000000}" name="구분" dataDxfId="50"/>
    <tableColumn id="3" xr3:uid="{00000000-0010-0000-1C00-000003000000}" name="공고마감일" dataDxfId="49"/>
    <tableColumn id="4" xr3:uid="{00000000-0010-0000-1C00-000004000000}" name="사업명" dataDxfId="48"/>
    <tableColumn id="5" xr3:uid="{00000000-0010-0000-1C00-000005000000}" name="사업구분" dataDxfId="47"/>
    <tableColumn id="6" xr3:uid="{00000000-0010-0000-1C00-000006000000}" name="책임자" dataDxfId="46"/>
    <tableColumn id="7" xr3:uid="{00000000-0010-0000-1C00-000007000000}" name="실무PM" dataDxfId="45"/>
    <tableColumn id="8" xr3:uid="{00000000-0010-0000-1C00-000008000000}" name="참여인원" dataDxfId="44"/>
    <tableColumn id="9" xr3:uid="{00000000-0010-0000-1C00-000009000000}" name=" 총사업비(천원)" dataDxfId="43"/>
    <tableColumn id="10" xr3:uid="{00000000-0010-0000-1C00-00000A000000}" name="정부지원금" dataDxfId="42"/>
    <tableColumn id="11" xr3:uid="{00000000-0010-0000-1C00-00000B000000}" name=" 분담금(비용)" dataDxfId="41"/>
    <tableColumn id="12" xr3:uid="{00000000-0010-0000-1C00-00000C000000}" name="선정확률" dataDxfId="40"/>
    <tableColumn id="13" xr3:uid="{00000000-0010-0000-1C00-00000D000000}" name=" 25년 수입 " dataDxfId="39"/>
    <tableColumn id="14" xr3:uid="{00000000-0010-0000-1C00-00000E000000}" name="주관부처" dataDxfId="38"/>
    <tableColumn id="15" xr3:uid="{00000000-0010-0000-1C00-00000F000000}" name="운영기관" dataDxfId="37"/>
    <tableColumn id="16" xr3:uid="{00000000-0010-0000-1C00-000010000000}" name="사업기간" dataDxfId="36"/>
    <tableColumn id="17" xr3:uid="{00000000-0010-0000-1C00-000011000000}" name="비고" dataDxfId="35"/>
    <tableColumn id="18" xr3:uid="{00000000-0010-0000-1C00-000012000000}" name="선정규모" dataDxfId="34"/>
    <tableColumn id="19" xr3:uid="{00000000-0010-0000-1C00-000013000000}" name="링크" dataDxfId="33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D000000}" name="표8" displayName="표8" ref="A78:S84" totalsRowShown="0" headerRowDxfId="32" dataDxfId="31">
  <autoFilter ref="A78:S84" xr:uid="{00000000-0009-0000-0100-000008000000}"/>
  <tableColumns count="19">
    <tableColumn id="1" xr3:uid="{00000000-0010-0000-1D00-000001000000}" name="우선순위" dataDxfId="30"/>
    <tableColumn id="2" xr3:uid="{00000000-0010-0000-1D00-000002000000}" name="구분" dataDxfId="29"/>
    <tableColumn id="3" xr3:uid="{00000000-0010-0000-1D00-000003000000}" name="공고마감일" dataDxfId="28"/>
    <tableColumn id="4" xr3:uid="{00000000-0010-0000-1D00-000004000000}" name="사업명" dataDxfId="27"/>
    <tableColumn id="5" xr3:uid="{00000000-0010-0000-1D00-000005000000}" name="사업구분" dataDxfId="26"/>
    <tableColumn id="6" xr3:uid="{00000000-0010-0000-1D00-000006000000}" name="책임자" dataDxfId="25"/>
    <tableColumn id="7" xr3:uid="{00000000-0010-0000-1D00-000007000000}" name="실무PM" dataDxfId="24"/>
    <tableColumn id="8" xr3:uid="{00000000-0010-0000-1D00-000008000000}" name="참여인원" dataDxfId="23"/>
    <tableColumn id="9" xr3:uid="{00000000-0010-0000-1D00-000009000000}" name=" 총사업비(천원)" dataDxfId="22"/>
    <tableColumn id="10" xr3:uid="{00000000-0010-0000-1D00-00000A000000}" name="  매출액" dataDxfId="21"/>
    <tableColumn id="11" xr3:uid="{00000000-0010-0000-1D00-00000B000000}" name=" 분담금(비용)" dataDxfId="20"/>
    <tableColumn id="12" xr3:uid="{00000000-0010-0000-1D00-00000C000000}" name="수행확률" dataDxfId="19"/>
    <tableColumn id="13" xr3:uid="{00000000-0010-0000-1D00-00000D000000}" name=" 25년 수입 " dataDxfId="18"/>
    <tableColumn id="14" xr3:uid="{00000000-0010-0000-1D00-00000E000000}" name="주관부처" dataDxfId="17"/>
    <tableColumn id="15" xr3:uid="{00000000-0010-0000-1D00-00000F000000}" name="운영기관" dataDxfId="16"/>
    <tableColumn id="16" xr3:uid="{00000000-0010-0000-1D00-000010000000}" name="사업기간" dataDxfId="15"/>
    <tableColumn id="17" xr3:uid="{00000000-0010-0000-1D00-000011000000}" name="비고" dataDxfId="14"/>
    <tableColumn id="18" xr3:uid="{00000000-0010-0000-1D00-000012000000}" name="선정규모" dataDxfId="13"/>
    <tableColumn id="19" xr3:uid="{00000000-0010-0000-1D00-000013000000}" name="링크" dataDxfId="1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7B972E-B59B-4A82-BBEE-783C1309D174}" name="표3_486" displayName="표3_486" ref="A6:J44" totalsRowShown="0" headerRowDxfId="11" dataDxfId="10">
  <autoFilter ref="A6:J44" xr:uid="{0D7B972E-B59B-4A82-BBEE-783C1309D174}"/>
  <tableColumns count="10">
    <tableColumn id="1" xr3:uid="{F3A09ACD-18FC-4245-8123-5BFC963F1E91}" name="사업기간" dataDxfId="9"/>
    <tableColumn id="5" xr3:uid="{5DCC1D57-E826-4961-AA48-54E613A9EAC7}" name="R&amp;D구분" dataDxfId="8"/>
    <tableColumn id="2" xr3:uid="{AD13F4F2-CEE2-44E5-92E5-632B99DEFB18}" name="사업 구분_x000a_" dataDxfId="7"/>
    <tableColumn id="4" xr3:uid="{53F8A5AF-C1DE-4063-8A8B-A25B6BAD637C}" name="사업명" dataDxfId="6"/>
    <tableColumn id="17" xr3:uid="{9976CB68-EA7C-4F09-9452-D77B7B9DBB4A}" name="사업계획서상 연구개발목표(사업화 목표등 입력) (한줄)" dataDxfId="5"/>
    <tableColumn id="3" xr3:uid="{868F0B51-FCCD-45F7-8A69-BDAE1D1FCBAC}" name="세부사업내용 (최대 3줄)" dataDxfId="4"/>
    <tableColumn id="9" xr3:uid="{799A902A-34E5-4FC7-A7DE-BA105FF9083F}" name=" 총사업규모_x000a_(원)" dataDxfId="3"/>
    <tableColumn id="14" xr3:uid="{711EF27D-3FD9-47D7-9403-736772FA6119}" name="주관부처" dataDxfId="2"/>
    <tableColumn id="15" xr3:uid="{132921E8-9085-4307-B17D-66B8F2FE2F17}" name="운영기관" dataDxfId="1"/>
    <tableColumn id="19" xr3:uid="{34D2BEDE-9892-4E9A-B968-A244EFB95782}" name="링크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FF3-FB21-49A0-8B58-B847851C4A3F}">
  <dimension ref="A1:M117"/>
  <sheetViews>
    <sheetView tabSelected="1" topLeftCell="A50" workbookViewId="0">
      <selection activeCell="F66" sqref="F66"/>
    </sheetView>
  </sheetViews>
  <sheetFormatPr defaultRowHeight="24"/>
  <cols>
    <col min="1" max="1" width="9" style="82"/>
    <col min="2" max="2" width="23" style="16" customWidth="1"/>
    <col min="3" max="3" width="27.625" style="63" customWidth="1"/>
    <col min="4" max="4" width="27" style="63" customWidth="1"/>
    <col min="5" max="5" width="40.375" customWidth="1"/>
    <col min="6" max="6" width="79.875" style="63" customWidth="1"/>
    <col min="7" max="7" width="55.75" style="63" customWidth="1"/>
    <col min="8" max="8" width="43.5" style="63" customWidth="1"/>
    <col min="9" max="9" width="23" style="75" customWidth="1"/>
    <col min="10" max="10" width="23" style="73" customWidth="1"/>
    <col min="11" max="11" width="23" style="16" customWidth="1"/>
    <col min="12" max="12" width="23" customWidth="1"/>
    <col min="13" max="16384" width="9" style="69"/>
  </cols>
  <sheetData>
    <row r="1" spans="1:13">
      <c r="A1" s="79" t="s">
        <v>0</v>
      </c>
      <c r="B1" s="83" t="s">
        <v>0</v>
      </c>
      <c r="C1" s="77"/>
      <c r="D1" s="77"/>
      <c r="E1" s="83"/>
      <c r="F1" s="77"/>
      <c r="G1" s="77"/>
      <c r="H1" s="77"/>
      <c r="I1" s="84"/>
      <c r="J1" s="85"/>
      <c r="K1" s="83"/>
      <c r="L1" s="11"/>
      <c r="M1" s="68"/>
    </row>
    <row r="2" spans="1:13" ht="114" customHeight="1">
      <c r="A2" s="79"/>
      <c r="B2" s="83"/>
      <c r="C2" s="77"/>
      <c r="D2" s="77"/>
      <c r="E2" s="83"/>
      <c r="F2" s="77" t="s">
        <v>1</v>
      </c>
      <c r="G2" s="77"/>
      <c r="H2" s="77"/>
      <c r="I2" s="84"/>
      <c r="J2" s="85"/>
      <c r="K2" s="83"/>
      <c r="L2" s="11"/>
      <c r="M2" s="68"/>
    </row>
    <row r="3" spans="1:13">
      <c r="A3" s="79"/>
      <c r="B3" s="83"/>
      <c r="C3" s="77"/>
      <c r="D3" s="77"/>
      <c r="E3" s="83"/>
      <c r="G3" s="77"/>
      <c r="H3" s="77"/>
      <c r="I3" s="84"/>
      <c r="J3" s="86"/>
      <c r="K3" s="83"/>
      <c r="L3" s="11"/>
      <c r="M3" s="68"/>
    </row>
    <row r="4" spans="1:13">
      <c r="A4" s="79"/>
      <c r="B4" s="83"/>
      <c r="C4" s="77"/>
      <c r="D4" s="77"/>
      <c r="E4" s="83"/>
      <c r="F4" s="77"/>
      <c r="G4" s="77"/>
      <c r="H4" s="77"/>
      <c r="I4" s="84"/>
      <c r="J4" s="85"/>
      <c r="K4" s="83"/>
      <c r="L4" s="11"/>
      <c r="M4" s="68"/>
    </row>
    <row r="5" spans="1:13" s="71" customFormat="1" ht="207" customHeight="1">
      <c r="A5" s="93" t="s">
        <v>2</v>
      </c>
      <c r="B5" s="94" t="s">
        <v>3</v>
      </c>
      <c r="C5" s="94" t="s">
        <v>4</v>
      </c>
      <c r="D5" s="94" t="s">
        <v>5</v>
      </c>
      <c r="E5" s="115" t="s">
        <v>6</v>
      </c>
      <c r="F5" s="95" t="s">
        <v>7</v>
      </c>
      <c r="G5" s="95" t="s">
        <v>8</v>
      </c>
      <c r="H5" s="95" t="s">
        <v>9</v>
      </c>
      <c r="I5" s="96" t="s">
        <v>10</v>
      </c>
      <c r="J5" s="96" t="s">
        <v>11</v>
      </c>
      <c r="K5" s="95" t="s">
        <v>12</v>
      </c>
      <c r="L5" s="97" t="s">
        <v>13</v>
      </c>
      <c r="M5" s="70"/>
    </row>
    <row r="6" spans="1:13" ht="42" customHeight="1">
      <c r="A6" s="81">
        <v>1</v>
      </c>
      <c r="B6" t="s">
        <v>14</v>
      </c>
      <c r="C6" t="s">
        <v>15</v>
      </c>
      <c r="D6" t="s">
        <v>16</v>
      </c>
      <c r="E6" t="s">
        <v>17</v>
      </c>
      <c r="F6" s="63" t="s">
        <v>18</v>
      </c>
      <c r="G6" t="s">
        <v>19</v>
      </c>
      <c r="H6" s="63" t="s">
        <v>20</v>
      </c>
      <c r="I6" s="100">
        <v>625000</v>
      </c>
      <c r="J6" s="73" t="s">
        <v>21</v>
      </c>
      <c r="K6" t="s">
        <v>22</v>
      </c>
    </row>
    <row r="7" spans="1:13" ht="42" customHeight="1">
      <c r="A7" s="81">
        <v>2</v>
      </c>
      <c r="B7"/>
      <c r="C7" t="s">
        <v>15</v>
      </c>
      <c r="D7" t="s">
        <v>16</v>
      </c>
      <c r="E7" t="s">
        <v>17</v>
      </c>
      <c r="F7" s="63" t="s">
        <v>23</v>
      </c>
      <c r="G7"/>
      <c r="H7"/>
      <c r="I7" s="100">
        <v>50000</v>
      </c>
      <c r="J7" s="73" t="s">
        <v>24</v>
      </c>
      <c r="K7" s="73" t="s">
        <v>24</v>
      </c>
    </row>
    <row r="8" spans="1:13" ht="42" customHeight="1">
      <c r="A8" s="81">
        <v>3</v>
      </c>
      <c r="B8" t="s">
        <v>25</v>
      </c>
      <c r="C8" t="s">
        <v>26</v>
      </c>
      <c r="D8" t="s">
        <v>27</v>
      </c>
      <c r="E8" t="s">
        <v>28</v>
      </c>
      <c r="F8" s="63" t="s">
        <v>29</v>
      </c>
      <c r="G8"/>
      <c r="H8"/>
      <c r="I8" s="100">
        <v>20000</v>
      </c>
      <c r="J8" s="73" t="s">
        <v>30</v>
      </c>
      <c r="K8" s="73" t="s">
        <v>30</v>
      </c>
    </row>
    <row r="9" spans="1:13" ht="42" customHeight="1">
      <c r="A9" s="81">
        <v>4</v>
      </c>
      <c r="B9" t="s">
        <v>31</v>
      </c>
      <c r="C9" t="s">
        <v>26</v>
      </c>
      <c r="D9" t="s">
        <v>27</v>
      </c>
      <c r="E9" t="s">
        <v>28</v>
      </c>
      <c r="F9" s="63" t="s">
        <v>32</v>
      </c>
      <c r="G9"/>
      <c r="H9"/>
      <c r="I9" s="100">
        <v>114286</v>
      </c>
      <c r="J9" s="73" t="s">
        <v>33</v>
      </c>
      <c r="K9" t="s">
        <v>34</v>
      </c>
    </row>
    <row r="10" spans="1:13" ht="42" customHeight="1">
      <c r="A10" s="81">
        <v>5</v>
      </c>
      <c r="B10" t="s">
        <v>35</v>
      </c>
      <c r="C10" t="s">
        <v>26</v>
      </c>
      <c r="D10" t="s">
        <v>16</v>
      </c>
      <c r="E10" s="78" t="s">
        <v>17</v>
      </c>
      <c r="F10" s="63" t="s">
        <v>36</v>
      </c>
      <c r="G10"/>
      <c r="H10"/>
      <c r="I10" s="100">
        <v>85000</v>
      </c>
      <c r="J10" s="73" t="s">
        <v>37</v>
      </c>
      <c r="K10" s="73" t="s">
        <v>37</v>
      </c>
    </row>
    <row r="11" spans="1:13" ht="42" customHeight="1">
      <c r="A11" s="81">
        <v>6</v>
      </c>
      <c r="B11" t="s">
        <v>38</v>
      </c>
      <c r="C11" t="s">
        <v>26</v>
      </c>
      <c r="D11" t="s">
        <v>16</v>
      </c>
      <c r="E11" t="s">
        <v>39</v>
      </c>
      <c r="F11" s="63" t="s">
        <v>40</v>
      </c>
      <c r="G11"/>
      <c r="H11"/>
      <c r="I11" s="100">
        <v>7000</v>
      </c>
      <c r="J11" s="73" t="s">
        <v>30</v>
      </c>
      <c r="K11" s="73" t="s">
        <v>30</v>
      </c>
    </row>
    <row r="12" spans="1:13" ht="42" customHeight="1">
      <c r="A12" s="81">
        <v>7</v>
      </c>
      <c r="B12" t="s">
        <v>41</v>
      </c>
      <c r="C12" t="s">
        <v>26</v>
      </c>
      <c r="D12" t="s">
        <v>16</v>
      </c>
      <c r="E12" t="s">
        <v>28</v>
      </c>
      <c r="F12" s="63" t="s">
        <v>42</v>
      </c>
      <c r="G12"/>
      <c r="H12"/>
      <c r="I12" s="100">
        <v>34000</v>
      </c>
      <c r="J12" s="73" t="s">
        <v>30</v>
      </c>
      <c r="K12" s="73" t="s">
        <v>30</v>
      </c>
    </row>
    <row r="13" spans="1:13" ht="39.75" customHeight="1">
      <c r="A13" s="81">
        <v>8</v>
      </c>
      <c r="B13" t="s">
        <v>43</v>
      </c>
      <c r="C13" t="s">
        <v>26</v>
      </c>
      <c r="D13" t="s">
        <v>16</v>
      </c>
      <c r="E13" t="s">
        <v>17</v>
      </c>
      <c r="F13" s="63" t="s">
        <v>44</v>
      </c>
      <c r="G13"/>
      <c r="H13"/>
      <c r="I13" s="100">
        <v>625000</v>
      </c>
      <c r="J13" s="73" t="s">
        <v>45</v>
      </c>
      <c r="K13" t="s">
        <v>46</v>
      </c>
    </row>
    <row r="14" spans="1:13" ht="39.75" customHeight="1">
      <c r="A14" s="81">
        <v>9</v>
      </c>
      <c r="B14" t="s">
        <v>47</v>
      </c>
      <c r="C14" t="s">
        <v>26</v>
      </c>
      <c r="D14" t="s">
        <v>16</v>
      </c>
      <c r="E14" t="s">
        <v>17</v>
      </c>
      <c r="F14" s="63" t="s">
        <v>48</v>
      </c>
      <c r="G14"/>
      <c r="H14"/>
      <c r="I14" s="100">
        <v>50000</v>
      </c>
      <c r="J14" s="73" t="s">
        <v>30</v>
      </c>
      <c r="K14" s="73" t="s">
        <v>30</v>
      </c>
    </row>
    <row r="15" spans="1:13" ht="39.75" customHeight="1">
      <c r="A15" s="81">
        <v>10</v>
      </c>
      <c r="B15" t="s">
        <v>49</v>
      </c>
      <c r="C15" t="s">
        <v>50</v>
      </c>
      <c r="D15" t="s">
        <v>51</v>
      </c>
      <c r="E15" t="s">
        <v>39</v>
      </c>
      <c r="F15" s="63" t="s">
        <v>52</v>
      </c>
      <c r="G15"/>
      <c r="H15"/>
      <c r="I15" s="100">
        <v>27000</v>
      </c>
      <c r="J15" s="73" t="s">
        <v>53</v>
      </c>
      <c r="K15" t="s">
        <v>54</v>
      </c>
    </row>
    <row r="16" spans="1:13" ht="39.75" customHeight="1">
      <c r="A16" s="81">
        <v>11</v>
      </c>
      <c r="B16" t="s">
        <v>55</v>
      </c>
      <c r="C16" t="s">
        <v>50</v>
      </c>
      <c r="D16" t="s">
        <v>16</v>
      </c>
      <c r="E16" t="s">
        <v>17</v>
      </c>
      <c r="F16" s="63" t="s">
        <v>56</v>
      </c>
      <c r="G16"/>
      <c r="H16"/>
      <c r="I16" s="100">
        <v>20000</v>
      </c>
      <c r="J16" s="73" t="s">
        <v>30</v>
      </c>
      <c r="K16" s="73" t="s">
        <v>30</v>
      </c>
    </row>
    <row r="17" spans="1:11" ht="39.75" customHeight="1">
      <c r="A17" s="81">
        <v>12</v>
      </c>
      <c r="B17" t="s">
        <v>57</v>
      </c>
      <c r="C17" t="s">
        <v>50</v>
      </c>
      <c r="D17" t="s">
        <v>16</v>
      </c>
      <c r="E17" t="s">
        <v>39</v>
      </c>
      <c r="F17" s="63" t="s">
        <v>58</v>
      </c>
      <c r="G17"/>
      <c r="H17"/>
      <c r="I17" s="100">
        <v>25000</v>
      </c>
      <c r="J17" s="73" t="s">
        <v>59</v>
      </c>
      <c r="K17" s="73" t="s">
        <v>59</v>
      </c>
    </row>
    <row r="18" spans="1:11" ht="39.75" customHeight="1">
      <c r="A18" s="81">
        <v>13</v>
      </c>
      <c r="B18" t="s">
        <v>60</v>
      </c>
      <c r="C18" t="s">
        <v>50</v>
      </c>
      <c r="D18" t="s">
        <v>16</v>
      </c>
      <c r="E18" t="s">
        <v>39</v>
      </c>
      <c r="F18" s="63" t="s">
        <v>61</v>
      </c>
      <c r="G18"/>
      <c r="H18"/>
      <c r="I18" s="100">
        <v>40000</v>
      </c>
      <c r="J18" s="73" t="s">
        <v>59</v>
      </c>
      <c r="K18" s="73" t="s">
        <v>59</v>
      </c>
    </row>
    <row r="19" spans="1:11" ht="39.75" customHeight="1">
      <c r="A19" s="81">
        <v>14</v>
      </c>
      <c r="B19" t="s">
        <v>62</v>
      </c>
      <c r="C19" t="s">
        <v>15</v>
      </c>
      <c r="D19" t="s">
        <v>63</v>
      </c>
      <c r="E19" t="s">
        <v>64</v>
      </c>
      <c r="F19" s="63" t="s">
        <v>65</v>
      </c>
      <c r="G19"/>
      <c r="H19"/>
      <c r="I19" s="73" t="s">
        <v>66</v>
      </c>
      <c r="J19" s="73" t="s">
        <v>67</v>
      </c>
      <c r="K19" t="s">
        <v>68</v>
      </c>
    </row>
    <row r="20" spans="1:11" ht="39.75" customHeight="1">
      <c r="A20" s="81">
        <v>15</v>
      </c>
      <c r="B20" t="s">
        <v>69</v>
      </c>
      <c r="C20" t="s">
        <v>15</v>
      </c>
      <c r="D20" t="s">
        <v>63</v>
      </c>
      <c r="E20" t="s">
        <v>70</v>
      </c>
      <c r="F20" s="63" t="s">
        <v>71</v>
      </c>
      <c r="G20"/>
      <c r="H20"/>
      <c r="I20" s="73" t="s">
        <v>66</v>
      </c>
      <c r="J20" s="73" t="s">
        <v>72</v>
      </c>
      <c r="K20" t="s">
        <v>73</v>
      </c>
    </row>
    <row r="21" spans="1:11" ht="39.75" customHeight="1">
      <c r="A21" s="81">
        <v>16</v>
      </c>
      <c r="B21" t="s">
        <v>74</v>
      </c>
      <c r="C21" t="s">
        <v>15</v>
      </c>
      <c r="D21" t="s">
        <v>75</v>
      </c>
      <c r="E21" t="s">
        <v>64</v>
      </c>
      <c r="F21" s="63" t="s">
        <v>76</v>
      </c>
      <c r="G21"/>
      <c r="H21"/>
      <c r="I21" s="100">
        <v>528760</v>
      </c>
      <c r="J21" s="73" t="s">
        <v>67</v>
      </c>
      <c r="K21" s="73" t="s">
        <v>77</v>
      </c>
    </row>
    <row r="22" spans="1:11" ht="42.75" customHeight="1">
      <c r="A22" s="81">
        <v>17</v>
      </c>
      <c r="B22" t="s">
        <v>78</v>
      </c>
      <c r="C22" t="s">
        <v>79</v>
      </c>
      <c r="D22" t="s">
        <v>16</v>
      </c>
      <c r="E22" t="s">
        <v>80</v>
      </c>
      <c r="F22" s="63" t="s">
        <v>81</v>
      </c>
      <c r="G22"/>
      <c r="H22"/>
      <c r="I22" s="100">
        <v>127400</v>
      </c>
      <c r="J22" s="73" t="s">
        <v>82</v>
      </c>
      <c r="K22" s="120" t="s">
        <v>82</v>
      </c>
    </row>
    <row r="23" spans="1:11" ht="42.75" customHeight="1">
      <c r="A23" s="81">
        <v>18</v>
      </c>
      <c r="B23" t="s">
        <v>83</v>
      </c>
      <c r="C23" t="s">
        <v>26</v>
      </c>
      <c r="D23" t="s">
        <v>16</v>
      </c>
      <c r="E23" t="s">
        <v>17</v>
      </c>
      <c r="F23" s="63" t="s">
        <v>44</v>
      </c>
      <c r="G23"/>
      <c r="H23"/>
      <c r="I23" s="100">
        <v>40860</v>
      </c>
      <c r="J23" s="73" t="s">
        <v>45</v>
      </c>
      <c r="K23" t="s">
        <v>46</v>
      </c>
    </row>
    <row r="24" spans="1:11" ht="42.75" customHeight="1">
      <c r="A24" s="81">
        <v>19</v>
      </c>
      <c r="B24" t="s">
        <v>84</v>
      </c>
      <c r="C24" t="s">
        <v>26</v>
      </c>
      <c r="D24" t="s">
        <v>16</v>
      </c>
      <c r="E24" t="s">
        <v>39</v>
      </c>
      <c r="F24" s="63" t="s">
        <v>85</v>
      </c>
      <c r="G24"/>
      <c r="H24"/>
      <c r="I24" s="100">
        <v>50000</v>
      </c>
      <c r="J24" s="73" t="s">
        <v>86</v>
      </c>
      <c r="K24" s="73" t="s">
        <v>86</v>
      </c>
    </row>
    <row r="25" spans="1:11" ht="42.75" customHeight="1">
      <c r="A25" s="81">
        <v>20</v>
      </c>
      <c r="B25" t="s">
        <v>87</v>
      </c>
      <c r="C25" t="s">
        <v>50</v>
      </c>
      <c r="D25" t="s">
        <v>16</v>
      </c>
      <c r="E25" t="s">
        <v>39</v>
      </c>
      <c r="F25" s="63" t="s">
        <v>88</v>
      </c>
      <c r="G25"/>
      <c r="H25"/>
      <c r="I25" s="100">
        <v>8200</v>
      </c>
      <c r="J25" s="73" t="s">
        <v>89</v>
      </c>
      <c r="K25" s="73" t="s">
        <v>89</v>
      </c>
    </row>
    <row r="26" spans="1:11" ht="42.75" customHeight="1">
      <c r="A26" s="81">
        <v>21</v>
      </c>
      <c r="B26" t="s">
        <v>90</v>
      </c>
      <c r="C26" t="s">
        <v>50</v>
      </c>
      <c r="D26" t="s">
        <v>16</v>
      </c>
      <c r="E26" t="s">
        <v>39</v>
      </c>
      <c r="F26" s="63" t="s">
        <v>91</v>
      </c>
      <c r="G26"/>
      <c r="H26"/>
      <c r="I26" s="100">
        <v>10000</v>
      </c>
      <c r="J26" s="73" t="s">
        <v>92</v>
      </c>
      <c r="K26" s="73" t="s">
        <v>93</v>
      </c>
    </row>
    <row r="27" spans="1:11" ht="42.75" customHeight="1">
      <c r="A27" s="81">
        <v>22</v>
      </c>
      <c r="B27" t="s">
        <v>94</v>
      </c>
      <c r="C27" t="s">
        <v>50</v>
      </c>
      <c r="D27" t="s">
        <v>27</v>
      </c>
      <c r="E27" t="s">
        <v>39</v>
      </c>
      <c r="F27" s="63" t="s">
        <v>95</v>
      </c>
      <c r="G27"/>
      <c r="H27"/>
      <c r="I27" s="100">
        <v>30000</v>
      </c>
      <c r="J27" s="73" t="s">
        <v>96</v>
      </c>
      <c r="K27" s="73" t="s">
        <v>96</v>
      </c>
    </row>
    <row r="28" spans="1:11" ht="42.75" customHeight="1">
      <c r="A28" s="81">
        <v>23</v>
      </c>
      <c r="B28" t="s">
        <v>97</v>
      </c>
      <c r="C28" t="s">
        <v>50</v>
      </c>
      <c r="D28" t="s">
        <v>16</v>
      </c>
      <c r="E28" t="s">
        <v>39</v>
      </c>
      <c r="F28" s="63" t="s">
        <v>98</v>
      </c>
      <c r="G28"/>
      <c r="H28"/>
      <c r="I28" s="100">
        <v>87500</v>
      </c>
      <c r="J28" s="73" t="s">
        <v>30</v>
      </c>
      <c r="K28" s="73" t="s">
        <v>30</v>
      </c>
    </row>
    <row r="29" spans="1:11" ht="42.75" customHeight="1">
      <c r="A29" s="81">
        <v>24</v>
      </c>
      <c r="B29" t="s">
        <v>99</v>
      </c>
      <c r="C29" t="s">
        <v>50</v>
      </c>
      <c r="D29" t="s">
        <v>27</v>
      </c>
      <c r="E29" t="s">
        <v>39</v>
      </c>
      <c r="F29" s="63" t="s">
        <v>100</v>
      </c>
      <c r="G29"/>
      <c r="H29"/>
      <c r="I29" s="100">
        <v>30000</v>
      </c>
      <c r="J29" s="73" t="s">
        <v>24</v>
      </c>
      <c r="K29" s="73" t="s">
        <v>24</v>
      </c>
    </row>
    <row r="30" spans="1:11" ht="42.75" customHeight="1">
      <c r="A30" s="81">
        <v>25</v>
      </c>
      <c r="B30" t="s">
        <v>101</v>
      </c>
      <c r="C30" t="s">
        <v>15</v>
      </c>
      <c r="D30" t="s">
        <v>75</v>
      </c>
      <c r="E30" t="s">
        <v>64</v>
      </c>
      <c r="F30" s="63" t="s">
        <v>102</v>
      </c>
      <c r="G30"/>
      <c r="H30"/>
      <c r="I30" s="73"/>
      <c r="J30" s="73" t="s">
        <v>33</v>
      </c>
      <c r="K30" s="73" t="s">
        <v>33</v>
      </c>
    </row>
    <row r="31" spans="1:11" ht="42.75" customHeight="1">
      <c r="A31" s="81">
        <v>26</v>
      </c>
      <c r="B31" t="s">
        <v>103</v>
      </c>
      <c r="C31" t="s">
        <v>15</v>
      </c>
      <c r="D31" t="s">
        <v>75</v>
      </c>
      <c r="E31" t="s">
        <v>64</v>
      </c>
      <c r="F31" s="63" t="s">
        <v>104</v>
      </c>
      <c r="G31"/>
      <c r="H31"/>
      <c r="I31" s="73"/>
      <c r="J31" s="73" t="s">
        <v>105</v>
      </c>
      <c r="K31" s="73" t="s">
        <v>105</v>
      </c>
    </row>
    <row r="32" spans="1:11" ht="42.75" customHeight="1">
      <c r="A32" s="81">
        <v>27</v>
      </c>
      <c r="B32" t="s">
        <v>101</v>
      </c>
      <c r="C32" t="s">
        <v>26</v>
      </c>
      <c r="D32" t="s">
        <v>75</v>
      </c>
      <c r="E32" s="78" t="s">
        <v>64</v>
      </c>
      <c r="F32" s="63" t="s">
        <v>106</v>
      </c>
      <c r="G32"/>
      <c r="H32"/>
      <c r="I32" s="73"/>
      <c r="J32" s="73" t="s">
        <v>33</v>
      </c>
      <c r="K32" s="73" t="s">
        <v>33</v>
      </c>
    </row>
    <row r="33" spans="1:11" ht="42.75" customHeight="1">
      <c r="A33" s="81">
        <v>28</v>
      </c>
      <c r="B33" t="s">
        <v>107</v>
      </c>
      <c r="C33" t="s">
        <v>26</v>
      </c>
      <c r="D33" t="s">
        <v>108</v>
      </c>
      <c r="E33" t="s">
        <v>17</v>
      </c>
      <c r="F33" s="63" t="s">
        <v>109</v>
      </c>
      <c r="G33"/>
      <c r="H33"/>
      <c r="I33" s="100">
        <v>31623</v>
      </c>
      <c r="J33" s="73" t="s">
        <v>45</v>
      </c>
      <c r="K33" t="s">
        <v>46</v>
      </c>
    </row>
    <row r="34" spans="1:11" ht="42.75" customHeight="1">
      <c r="A34" s="81">
        <v>29</v>
      </c>
      <c r="B34" t="s">
        <v>110</v>
      </c>
      <c r="C34" t="s">
        <v>26</v>
      </c>
      <c r="D34" t="s">
        <v>111</v>
      </c>
      <c r="E34" t="s">
        <v>39</v>
      </c>
      <c r="F34" s="63" t="s">
        <v>112</v>
      </c>
      <c r="G34"/>
      <c r="H34"/>
      <c r="I34" s="100">
        <v>90000</v>
      </c>
      <c r="J34" s="73" t="s">
        <v>33</v>
      </c>
      <c r="K34" s="73" t="s">
        <v>34</v>
      </c>
    </row>
    <row r="35" spans="1:11" ht="42.75" customHeight="1">
      <c r="A35" s="81">
        <v>30</v>
      </c>
      <c r="B35" t="s">
        <v>113</v>
      </c>
      <c r="C35" t="s">
        <v>26</v>
      </c>
      <c r="D35" t="s">
        <v>39</v>
      </c>
      <c r="E35" t="s">
        <v>39</v>
      </c>
      <c r="F35" s="63" t="s">
        <v>114</v>
      </c>
      <c r="G35"/>
      <c r="H35"/>
      <c r="I35" s="100">
        <v>66667</v>
      </c>
      <c r="J35" s="73" t="s">
        <v>30</v>
      </c>
      <c r="K35" s="73" t="s">
        <v>30</v>
      </c>
    </row>
    <row r="36" spans="1:11" ht="42.75" customHeight="1">
      <c r="A36" s="81">
        <v>31</v>
      </c>
      <c r="B36" t="s">
        <v>115</v>
      </c>
      <c r="C36" t="s">
        <v>116</v>
      </c>
      <c r="D36" t="s">
        <v>27</v>
      </c>
      <c r="E36" t="s">
        <v>39</v>
      </c>
      <c r="F36" s="63" t="s">
        <v>117</v>
      </c>
      <c r="G36"/>
      <c r="H36"/>
      <c r="I36" s="100">
        <v>30000</v>
      </c>
      <c r="J36" s="73" t="s">
        <v>118</v>
      </c>
      <c r="K36" t="s">
        <v>119</v>
      </c>
    </row>
    <row r="37" spans="1:11" ht="42.75" customHeight="1">
      <c r="A37" s="81">
        <v>32</v>
      </c>
      <c r="B37" t="s">
        <v>120</v>
      </c>
      <c r="C37" t="s">
        <v>116</v>
      </c>
      <c r="D37" t="s">
        <v>27</v>
      </c>
      <c r="E37" t="s">
        <v>39</v>
      </c>
      <c r="F37" s="63" t="s">
        <v>121</v>
      </c>
      <c r="G37"/>
      <c r="H37"/>
      <c r="I37" s="100">
        <v>167150</v>
      </c>
      <c r="J37" s="73" t="s">
        <v>33</v>
      </c>
      <c r="K37" s="73" t="s">
        <v>34</v>
      </c>
    </row>
    <row r="38" spans="1:11" ht="42.75" customHeight="1">
      <c r="A38" s="81">
        <v>33</v>
      </c>
      <c r="B38" t="s">
        <v>122</v>
      </c>
      <c r="C38" t="s">
        <v>116</v>
      </c>
      <c r="D38" t="s">
        <v>123</v>
      </c>
      <c r="E38" t="s">
        <v>39</v>
      </c>
      <c r="F38" s="63" t="s">
        <v>124</v>
      </c>
      <c r="G38"/>
      <c r="H38"/>
      <c r="I38" s="100">
        <v>87520</v>
      </c>
      <c r="J38" s="73" t="s">
        <v>86</v>
      </c>
      <c r="K38" s="73" t="s">
        <v>86</v>
      </c>
    </row>
    <row r="39" spans="1:11" ht="42.75" customHeight="1">
      <c r="A39" s="81">
        <v>34</v>
      </c>
      <c r="B39" t="s">
        <v>125</v>
      </c>
      <c r="C39" t="s">
        <v>116</v>
      </c>
      <c r="D39" t="s">
        <v>39</v>
      </c>
      <c r="E39" t="s">
        <v>39</v>
      </c>
      <c r="F39" s="63" t="s">
        <v>126</v>
      </c>
      <c r="G39"/>
      <c r="H39"/>
      <c r="I39" s="100">
        <v>278000</v>
      </c>
      <c r="J39" s="73" t="s">
        <v>127</v>
      </c>
      <c r="K39" s="73" t="s">
        <v>127</v>
      </c>
    </row>
    <row r="40" spans="1:11" ht="42.75" customHeight="1">
      <c r="A40" s="81">
        <v>35</v>
      </c>
      <c r="B40" t="s">
        <v>128</v>
      </c>
      <c r="C40" t="s">
        <v>116</v>
      </c>
      <c r="D40" t="s">
        <v>27</v>
      </c>
      <c r="E40" t="s">
        <v>39</v>
      </c>
      <c r="F40" s="63" t="s">
        <v>129</v>
      </c>
      <c r="G40"/>
      <c r="H40"/>
      <c r="I40" s="100">
        <v>5000</v>
      </c>
      <c r="J40" s="73" t="s">
        <v>130</v>
      </c>
      <c r="K40" s="73" t="s">
        <v>130</v>
      </c>
    </row>
    <row r="41" spans="1:11" ht="42.75" customHeight="1">
      <c r="A41" s="81">
        <v>36</v>
      </c>
      <c r="B41" t="s">
        <v>131</v>
      </c>
      <c r="C41" t="s">
        <v>116</v>
      </c>
      <c r="D41" t="s">
        <v>27</v>
      </c>
      <c r="E41" t="s">
        <v>64</v>
      </c>
      <c r="F41" s="63" t="s">
        <v>132</v>
      </c>
      <c r="G41"/>
      <c r="H41"/>
      <c r="I41" s="100">
        <v>45000</v>
      </c>
      <c r="J41" s="73" t="s">
        <v>133</v>
      </c>
      <c r="K41" s="73" t="s">
        <v>133</v>
      </c>
    </row>
    <row r="42" spans="1:11" ht="42.75" customHeight="1">
      <c r="A42" s="81">
        <v>37</v>
      </c>
      <c r="B42" t="s">
        <v>134</v>
      </c>
      <c r="C42" t="s">
        <v>116</v>
      </c>
      <c r="D42" t="s">
        <v>27</v>
      </c>
      <c r="E42" t="s">
        <v>39</v>
      </c>
      <c r="F42" s="63" t="s">
        <v>135</v>
      </c>
      <c r="G42"/>
      <c r="H42"/>
      <c r="I42" s="100">
        <v>10000</v>
      </c>
      <c r="J42" s="73" t="s">
        <v>136</v>
      </c>
      <c r="K42" s="73" t="s">
        <v>136</v>
      </c>
    </row>
    <row r="43" spans="1:11" ht="42.75" customHeight="1">
      <c r="A43" s="81">
        <v>38</v>
      </c>
      <c r="B43" t="s">
        <v>137</v>
      </c>
      <c r="C43" t="s">
        <v>116</v>
      </c>
      <c r="D43" t="s">
        <v>27</v>
      </c>
      <c r="E43" t="s">
        <v>39</v>
      </c>
      <c r="F43" s="63" t="s">
        <v>138</v>
      </c>
      <c r="G43"/>
      <c r="H43"/>
      <c r="I43" s="100">
        <v>8500</v>
      </c>
      <c r="J43" s="73" t="s">
        <v>139</v>
      </c>
      <c r="K43" s="73" t="s">
        <v>139</v>
      </c>
    </row>
    <row r="44" spans="1:11" ht="42.75" customHeight="1">
      <c r="A44" s="81">
        <v>39</v>
      </c>
      <c r="B44" t="s">
        <v>140</v>
      </c>
      <c r="C44" t="s">
        <v>141</v>
      </c>
      <c r="D44" t="s">
        <v>142</v>
      </c>
      <c r="E44" t="s">
        <v>28</v>
      </c>
      <c r="F44" s="63" t="s">
        <v>143</v>
      </c>
      <c r="G44"/>
      <c r="H44"/>
      <c r="I44" s="100">
        <v>20000</v>
      </c>
      <c r="J44" s="73" t="s">
        <v>130</v>
      </c>
      <c r="K44" s="73" t="s">
        <v>130</v>
      </c>
    </row>
    <row r="45" spans="1:11" ht="42.75" customHeight="1">
      <c r="A45" s="81">
        <v>40</v>
      </c>
      <c r="B45" t="s">
        <v>144</v>
      </c>
      <c r="C45" t="s">
        <v>15</v>
      </c>
      <c r="D45" t="s">
        <v>27</v>
      </c>
      <c r="E45" t="s">
        <v>64</v>
      </c>
      <c r="F45" s="63" t="s">
        <v>145</v>
      </c>
      <c r="G45"/>
      <c r="H45"/>
      <c r="I45" s="73"/>
      <c r="J45" s="73" t="s">
        <v>146</v>
      </c>
      <c r="K45" t="s">
        <v>82</v>
      </c>
    </row>
    <row r="46" spans="1:11" ht="42.75" customHeight="1">
      <c r="A46" s="81">
        <v>41</v>
      </c>
      <c r="B46" t="s">
        <v>147</v>
      </c>
      <c r="C46" t="s">
        <v>15</v>
      </c>
      <c r="D46" t="s">
        <v>39</v>
      </c>
      <c r="E46" t="s">
        <v>148</v>
      </c>
      <c r="F46" s="63" t="s">
        <v>149</v>
      </c>
      <c r="G46"/>
      <c r="H46"/>
      <c r="I46" s="73"/>
      <c r="J46" s="73" t="s">
        <v>33</v>
      </c>
      <c r="K46" t="s">
        <v>150</v>
      </c>
    </row>
    <row r="47" spans="1:11" ht="42.75" customHeight="1">
      <c r="A47" s="81">
        <v>42</v>
      </c>
      <c r="B47" t="s">
        <v>151</v>
      </c>
      <c r="C47" t="s">
        <v>79</v>
      </c>
      <c r="D47" t="s">
        <v>16</v>
      </c>
      <c r="E47" t="s">
        <v>17</v>
      </c>
      <c r="F47" s="63" t="s">
        <v>152</v>
      </c>
      <c r="G47"/>
      <c r="H47"/>
      <c r="I47" s="100">
        <v>60000</v>
      </c>
      <c r="J47" s="73" t="s">
        <v>153</v>
      </c>
      <c r="K47" s="73" t="s">
        <v>153</v>
      </c>
    </row>
    <row r="48" spans="1:11" ht="42.75" customHeight="1">
      <c r="A48" s="81">
        <v>43</v>
      </c>
      <c r="B48" t="s">
        <v>154</v>
      </c>
      <c r="C48" t="s">
        <v>79</v>
      </c>
      <c r="D48" t="s">
        <v>39</v>
      </c>
      <c r="E48" t="s">
        <v>39</v>
      </c>
      <c r="F48" s="63" t="s">
        <v>155</v>
      </c>
      <c r="G48"/>
      <c r="H48"/>
      <c r="I48" s="100">
        <v>181963</v>
      </c>
      <c r="J48" s="73" t="s">
        <v>46</v>
      </c>
      <c r="K48" s="73" t="s">
        <v>46</v>
      </c>
    </row>
    <row r="49" spans="1:11" ht="42.75" customHeight="1">
      <c r="A49" s="81">
        <v>44</v>
      </c>
      <c r="B49" t="s">
        <v>156</v>
      </c>
      <c r="C49" t="s">
        <v>79</v>
      </c>
      <c r="D49" t="s">
        <v>108</v>
      </c>
      <c r="E49" t="s">
        <v>17</v>
      </c>
      <c r="F49" s="63" t="s">
        <v>157</v>
      </c>
      <c r="G49"/>
      <c r="H49"/>
      <c r="I49" s="100">
        <v>30000</v>
      </c>
      <c r="J49" s="73" t="s">
        <v>158</v>
      </c>
      <c r="K49" s="73" t="s">
        <v>158</v>
      </c>
    </row>
    <row r="50" spans="1:11" ht="42.75" customHeight="1">
      <c r="A50" s="81">
        <v>45</v>
      </c>
      <c r="B50" t="s">
        <v>159</v>
      </c>
      <c r="C50" t="s">
        <v>26</v>
      </c>
      <c r="D50" t="s">
        <v>108</v>
      </c>
      <c r="E50" t="s">
        <v>17</v>
      </c>
      <c r="F50" s="63" t="s">
        <v>160</v>
      </c>
      <c r="G50"/>
      <c r="H50"/>
      <c r="I50" s="100">
        <v>29900</v>
      </c>
      <c r="J50" s="73" t="s">
        <v>161</v>
      </c>
      <c r="K50" s="73" t="s">
        <v>161</v>
      </c>
    </row>
    <row r="51" spans="1:11" ht="42.75" customHeight="1">
      <c r="A51" s="81">
        <v>46</v>
      </c>
      <c r="B51" t="s">
        <v>162</v>
      </c>
      <c r="C51" t="s">
        <v>116</v>
      </c>
      <c r="D51" t="s">
        <v>39</v>
      </c>
      <c r="E51" t="s">
        <v>39</v>
      </c>
      <c r="F51" s="63" t="s">
        <v>163</v>
      </c>
      <c r="G51"/>
      <c r="H51"/>
      <c r="I51" s="73"/>
      <c r="K51"/>
    </row>
    <row r="52" spans="1:11" ht="42.75" customHeight="1">
      <c r="A52" s="81">
        <v>47</v>
      </c>
      <c r="B52" t="s">
        <v>164</v>
      </c>
      <c r="C52" t="s">
        <v>116</v>
      </c>
      <c r="D52" t="s">
        <v>165</v>
      </c>
      <c r="E52" t="s">
        <v>148</v>
      </c>
      <c r="F52" s="63" t="s">
        <v>166</v>
      </c>
      <c r="G52"/>
      <c r="H52"/>
      <c r="I52" s="100">
        <v>33400</v>
      </c>
      <c r="J52" s="73" t="s">
        <v>30</v>
      </c>
      <c r="K52" s="73" t="s">
        <v>30</v>
      </c>
    </row>
    <row r="53" spans="1:11" ht="42.75" customHeight="1">
      <c r="A53" s="81">
        <v>48</v>
      </c>
      <c r="B53" t="s">
        <v>167</v>
      </c>
      <c r="C53" t="s">
        <v>116</v>
      </c>
      <c r="D53" t="s">
        <v>27</v>
      </c>
      <c r="E53" t="s">
        <v>39</v>
      </c>
      <c r="F53" s="63" t="s">
        <v>168</v>
      </c>
      <c r="G53"/>
      <c r="H53"/>
      <c r="I53" s="100">
        <v>24600</v>
      </c>
      <c r="J53" s="73" t="s">
        <v>30</v>
      </c>
      <c r="K53" s="73" t="s">
        <v>30</v>
      </c>
    </row>
    <row r="54" spans="1:11" ht="42.75" customHeight="1">
      <c r="A54" s="81">
        <v>49</v>
      </c>
      <c r="B54" t="s">
        <v>169</v>
      </c>
      <c r="C54" t="s">
        <v>116</v>
      </c>
      <c r="D54" t="s">
        <v>170</v>
      </c>
      <c r="E54" t="s">
        <v>80</v>
      </c>
      <c r="F54" s="63" t="s">
        <v>171</v>
      </c>
      <c r="G54"/>
      <c r="H54"/>
      <c r="I54" s="100">
        <v>33400</v>
      </c>
      <c r="J54" s="73" t="s">
        <v>172</v>
      </c>
      <c r="K54" s="73" t="s">
        <v>172</v>
      </c>
    </row>
    <row r="55" spans="1:11" ht="42.75" customHeight="1">
      <c r="A55" s="81">
        <v>50</v>
      </c>
      <c r="B55" t="s">
        <v>173</v>
      </c>
      <c r="C55" t="s">
        <v>116</v>
      </c>
      <c r="D55" t="s">
        <v>27</v>
      </c>
      <c r="E55" t="s">
        <v>28</v>
      </c>
      <c r="F55" s="63" t="s">
        <v>174</v>
      </c>
      <c r="G55"/>
      <c r="H55"/>
      <c r="I55" s="73"/>
      <c r="J55" s="73" t="s">
        <v>30</v>
      </c>
      <c r="K55" s="73" t="s">
        <v>30</v>
      </c>
    </row>
    <row r="56" spans="1:11" ht="42.75" customHeight="1">
      <c r="A56" s="81">
        <v>51</v>
      </c>
      <c r="B56" t="s">
        <v>175</v>
      </c>
      <c r="C56" t="s">
        <v>116</v>
      </c>
      <c r="D56" t="s">
        <v>16</v>
      </c>
      <c r="E56" s="78" t="s">
        <v>17</v>
      </c>
      <c r="F56" s="63" t="s">
        <v>176</v>
      </c>
      <c r="G56"/>
      <c r="H56"/>
      <c r="I56" s="100">
        <v>121000</v>
      </c>
      <c r="J56" s="73" t="s">
        <v>30</v>
      </c>
      <c r="K56" s="73" t="s">
        <v>30</v>
      </c>
    </row>
    <row r="57" spans="1:11" ht="42.75" customHeight="1">
      <c r="A57" s="81">
        <v>52</v>
      </c>
      <c r="B57" t="s">
        <v>177</v>
      </c>
      <c r="C57" t="s">
        <v>116</v>
      </c>
      <c r="D57" t="s">
        <v>27</v>
      </c>
      <c r="E57" t="s">
        <v>64</v>
      </c>
      <c r="F57" s="63" t="s">
        <v>178</v>
      </c>
      <c r="G57"/>
      <c r="H57"/>
      <c r="I57" s="100">
        <v>10000</v>
      </c>
      <c r="J57" s="73" t="s">
        <v>34</v>
      </c>
      <c r="K57"/>
    </row>
    <row r="58" spans="1:11" ht="42.75" customHeight="1">
      <c r="A58" s="81">
        <v>53</v>
      </c>
      <c r="B58" t="s">
        <v>179</v>
      </c>
      <c r="C58" t="s">
        <v>116</v>
      </c>
      <c r="D58" t="s">
        <v>39</v>
      </c>
      <c r="E58" t="s">
        <v>39</v>
      </c>
      <c r="F58" s="63" t="s">
        <v>180</v>
      </c>
      <c r="G58"/>
      <c r="H58"/>
      <c r="I58" s="100">
        <v>10000</v>
      </c>
      <c r="J58" s="73" t="s">
        <v>181</v>
      </c>
      <c r="K58" s="73" t="s">
        <v>181</v>
      </c>
    </row>
    <row r="59" spans="1:11" ht="42.75" customHeight="1">
      <c r="A59" s="81">
        <v>54</v>
      </c>
      <c r="B59" t="s">
        <v>182</v>
      </c>
      <c r="C59" t="s">
        <v>116</v>
      </c>
      <c r="D59" t="s">
        <v>170</v>
      </c>
      <c r="E59" t="s">
        <v>80</v>
      </c>
      <c r="F59" s="63" t="s">
        <v>183</v>
      </c>
      <c r="G59"/>
      <c r="H59"/>
      <c r="I59" s="100">
        <v>33400</v>
      </c>
      <c r="J59" s="73" t="s">
        <v>30</v>
      </c>
      <c r="K59" s="73" t="s">
        <v>30</v>
      </c>
    </row>
    <row r="60" spans="1:11" ht="42.75" customHeight="1">
      <c r="A60" s="81">
        <v>55</v>
      </c>
      <c r="B60" t="s">
        <v>184</v>
      </c>
      <c r="C60" t="s">
        <v>116</v>
      </c>
      <c r="D60" t="s">
        <v>27</v>
      </c>
      <c r="E60" t="s">
        <v>39</v>
      </c>
      <c r="F60" s="63" t="s">
        <v>185</v>
      </c>
      <c r="G60"/>
      <c r="H60"/>
      <c r="I60" s="100">
        <v>10000</v>
      </c>
      <c r="J60" s="73" t="s">
        <v>30</v>
      </c>
      <c r="K60" s="73" t="s">
        <v>30</v>
      </c>
    </row>
    <row r="61" spans="1:11" ht="42.75" customHeight="1">
      <c r="A61" s="81">
        <v>56</v>
      </c>
      <c r="B61" t="s">
        <v>186</v>
      </c>
      <c r="C61" t="s">
        <v>116</v>
      </c>
      <c r="D61" t="s">
        <v>39</v>
      </c>
      <c r="E61" t="s">
        <v>39</v>
      </c>
      <c r="F61" s="63" t="s">
        <v>187</v>
      </c>
      <c r="G61"/>
      <c r="H61"/>
      <c r="I61" s="100">
        <v>31000</v>
      </c>
      <c r="J61" s="73" t="s">
        <v>46</v>
      </c>
      <c r="K61" s="73" t="s">
        <v>46</v>
      </c>
    </row>
    <row r="62" spans="1:11" ht="42.75" customHeight="1">
      <c r="A62" s="81">
        <v>57</v>
      </c>
      <c r="B62" t="s">
        <v>188</v>
      </c>
      <c r="C62" t="s">
        <v>116</v>
      </c>
      <c r="D62" t="s">
        <v>27</v>
      </c>
      <c r="E62" t="s">
        <v>189</v>
      </c>
      <c r="F62" s="63" t="s">
        <v>190</v>
      </c>
      <c r="G62"/>
      <c r="H62"/>
      <c r="I62" s="100">
        <v>5000</v>
      </c>
      <c r="J62" s="73" t="s">
        <v>30</v>
      </c>
      <c r="K62" s="73" t="s">
        <v>30</v>
      </c>
    </row>
    <row r="63" spans="1:11" ht="42.75" customHeight="1">
      <c r="A63" s="81">
        <v>58</v>
      </c>
      <c r="B63" t="s">
        <v>188</v>
      </c>
      <c r="C63" t="s">
        <v>116</v>
      </c>
      <c r="D63" t="s">
        <v>27</v>
      </c>
      <c r="E63" t="s">
        <v>189</v>
      </c>
      <c r="F63" s="63" t="s">
        <v>191</v>
      </c>
      <c r="G63"/>
      <c r="H63"/>
      <c r="I63" s="100">
        <v>3000</v>
      </c>
      <c r="J63" s="73" t="s">
        <v>92</v>
      </c>
      <c r="K63" s="73" t="s">
        <v>92</v>
      </c>
    </row>
    <row r="64" spans="1:11" ht="42.75" customHeight="1">
      <c r="A64" s="81">
        <v>59</v>
      </c>
      <c r="B64" t="s">
        <v>192</v>
      </c>
      <c r="C64" t="s">
        <v>141</v>
      </c>
      <c r="D64" t="s">
        <v>193</v>
      </c>
      <c r="E64" t="s">
        <v>194</v>
      </c>
      <c r="F64" s="63" t="s">
        <v>195</v>
      </c>
      <c r="G64"/>
      <c r="H64"/>
      <c r="I64" s="100">
        <v>50000</v>
      </c>
      <c r="J64" s="73" t="s">
        <v>92</v>
      </c>
      <c r="K64" s="73" t="s">
        <v>92</v>
      </c>
    </row>
    <row r="65" spans="1:12" ht="42.75" customHeight="1">
      <c r="A65" s="81">
        <v>60</v>
      </c>
      <c r="B65"/>
      <c r="C65" t="s">
        <v>116</v>
      </c>
      <c r="D65"/>
      <c r="E65" t="s">
        <v>39</v>
      </c>
      <c r="F65" s="63" t="s">
        <v>196</v>
      </c>
      <c r="G65"/>
      <c r="H65"/>
      <c r="I65" s="100">
        <v>16500</v>
      </c>
      <c r="J65" s="73" t="s">
        <v>197</v>
      </c>
      <c r="K65" s="73" t="s">
        <v>197</v>
      </c>
    </row>
    <row r="66" spans="1:12" ht="42.75" customHeight="1">
      <c r="A66" s="81">
        <v>61</v>
      </c>
      <c r="B66" s="101" t="s">
        <v>198</v>
      </c>
      <c r="C66" s="102" t="s">
        <v>141</v>
      </c>
      <c r="D66" s="117" t="s">
        <v>27</v>
      </c>
      <c r="E66" s="102" t="s">
        <v>189</v>
      </c>
      <c r="F66" s="103" t="s">
        <v>199</v>
      </c>
      <c r="G66" s="102"/>
      <c r="H66" s="102"/>
      <c r="I66" s="113">
        <v>85720</v>
      </c>
      <c r="J66" s="104" t="s">
        <v>33</v>
      </c>
      <c r="K66" s="104" t="s">
        <v>34</v>
      </c>
      <c r="L66" s="102"/>
    </row>
    <row r="67" spans="1:12" ht="42.75" customHeight="1">
      <c r="A67" s="81">
        <v>62</v>
      </c>
      <c r="B67" s="87" t="s">
        <v>200</v>
      </c>
      <c r="C67" s="72" t="s">
        <v>141</v>
      </c>
      <c r="D67" s="116" t="s">
        <v>27</v>
      </c>
      <c r="E67" s="72" t="s">
        <v>189</v>
      </c>
      <c r="F67" s="88" t="s">
        <v>201</v>
      </c>
      <c r="G67" s="72"/>
      <c r="H67" s="72"/>
      <c r="I67" s="114">
        <v>56250</v>
      </c>
      <c r="J67" s="74" t="s">
        <v>202</v>
      </c>
      <c r="K67" s="74" t="s">
        <v>202</v>
      </c>
      <c r="L67" s="72"/>
    </row>
    <row r="68" spans="1:12" ht="42.75" customHeight="1">
      <c r="A68" s="81">
        <v>63</v>
      </c>
      <c r="B68" s="101" t="s">
        <v>203</v>
      </c>
      <c r="C68" s="102" t="s">
        <v>15</v>
      </c>
      <c r="D68" s="102" t="s">
        <v>204</v>
      </c>
      <c r="E68" s="102" t="s">
        <v>64</v>
      </c>
      <c r="F68" s="103" t="s">
        <v>205</v>
      </c>
      <c r="G68" s="102"/>
      <c r="H68" s="102"/>
      <c r="I68" s="113">
        <v>1456000</v>
      </c>
      <c r="J68" s="104" t="s">
        <v>105</v>
      </c>
      <c r="K68" s="102" t="s">
        <v>82</v>
      </c>
      <c r="L68" s="102"/>
    </row>
    <row r="69" spans="1:12" ht="42.75" customHeight="1">
      <c r="A69" s="81">
        <v>64</v>
      </c>
      <c r="B69" s="87" t="s">
        <v>206</v>
      </c>
      <c r="C69" s="72" t="s">
        <v>50</v>
      </c>
      <c r="D69" s="72" t="s">
        <v>27</v>
      </c>
      <c r="E69" s="72" t="s">
        <v>39</v>
      </c>
      <c r="F69" s="88" t="s">
        <v>207</v>
      </c>
      <c r="G69" s="72"/>
      <c r="H69" s="72"/>
      <c r="I69" s="114">
        <v>12000</v>
      </c>
      <c r="J69" s="74" t="s">
        <v>208</v>
      </c>
      <c r="K69" s="74" t="s">
        <v>208</v>
      </c>
      <c r="L69" s="72"/>
    </row>
    <row r="70" spans="1:12" ht="42.75" customHeight="1">
      <c r="A70" s="81">
        <v>65</v>
      </c>
      <c r="B70" s="101" t="s">
        <v>209</v>
      </c>
      <c r="C70" s="102" t="s">
        <v>50</v>
      </c>
      <c r="D70" s="102" t="s">
        <v>27</v>
      </c>
      <c r="E70" s="102" t="s">
        <v>189</v>
      </c>
      <c r="F70" s="103" t="s">
        <v>210</v>
      </c>
      <c r="G70" s="102"/>
      <c r="H70" s="102"/>
      <c r="I70" s="113">
        <v>5000</v>
      </c>
      <c r="J70" s="104" t="s">
        <v>92</v>
      </c>
      <c r="K70" s="104" t="s">
        <v>92</v>
      </c>
      <c r="L70" s="102"/>
    </row>
    <row r="71" spans="1:12" ht="42.75" customHeight="1">
      <c r="A71" s="81">
        <v>66</v>
      </c>
      <c r="B71" s="87" t="s">
        <v>211</v>
      </c>
      <c r="C71" s="72" t="s">
        <v>50</v>
      </c>
      <c r="D71" s="72" t="s">
        <v>27</v>
      </c>
      <c r="E71" s="78" t="s">
        <v>189</v>
      </c>
      <c r="F71" s="88" t="s">
        <v>212</v>
      </c>
      <c r="G71" s="72"/>
      <c r="H71" s="72"/>
      <c r="I71" s="114">
        <v>142860</v>
      </c>
      <c r="J71" s="74" t="s">
        <v>33</v>
      </c>
      <c r="K71" s="72" t="s">
        <v>34</v>
      </c>
      <c r="L71" s="72"/>
    </row>
    <row r="72" spans="1:12" ht="42.75" customHeight="1">
      <c r="A72" s="81">
        <v>67</v>
      </c>
      <c r="B72" s="101" t="s">
        <v>213</v>
      </c>
      <c r="C72" s="102" t="s">
        <v>141</v>
      </c>
      <c r="D72" s="102" t="s">
        <v>27</v>
      </c>
      <c r="E72" s="102" t="s">
        <v>189</v>
      </c>
      <c r="F72" s="105" t="s">
        <v>214</v>
      </c>
      <c r="G72" s="102"/>
      <c r="H72" s="102"/>
      <c r="I72" s="113">
        <v>128572</v>
      </c>
      <c r="J72" s="104" t="s">
        <v>33</v>
      </c>
      <c r="K72" s="104" t="s">
        <v>34</v>
      </c>
      <c r="L72" s="102"/>
    </row>
    <row r="73" spans="1:12" ht="42.75" customHeight="1">
      <c r="A73" s="81">
        <v>68</v>
      </c>
      <c r="B73" s="87" t="s">
        <v>215</v>
      </c>
      <c r="C73" s="72" t="s">
        <v>50</v>
      </c>
      <c r="D73" s="72" t="s">
        <v>27</v>
      </c>
      <c r="E73" s="89" t="s">
        <v>39</v>
      </c>
      <c r="F73" s="92" t="s">
        <v>216</v>
      </c>
      <c r="G73" s="87"/>
      <c r="H73" s="72"/>
      <c r="I73" s="114">
        <v>10000</v>
      </c>
      <c r="J73" s="74" t="s">
        <v>217</v>
      </c>
      <c r="K73" s="74" t="s">
        <v>217</v>
      </c>
      <c r="L73" s="72"/>
    </row>
    <row r="74" spans="1:12" ht="42.75" customHeight="1">
      <c r="A74" s="81">
        <v>69</v>
      </c>
      <c r="B74" s="101" t="s">
        <v>218</v>
      </c>
      <c r="C74" s="102" t="s">
        <v>50</v>
      </c>
      <c r="D74" s="102" t="s">
        <v>27</v>
      </c>
      <c r="E74" s="106" t="s">
        <v>39</v>
      </c>
      <c r="F74" s="107" t="s">
        <v>219</v>
      </c>
      <c r="G74" s="101"/>
      <c r="H74" s="102"/>
      <c r="I74" s="113">
        <v>1566</v>
      </c>
      <c r="J74" s="104" t="s">
        <v>217</v>
      </c>
      <c r="K74" s="104" t="s">
        <v>217</v>
      </c>
      <c r="L74" s="102"/>
    </row>
    <row r="75" spans="1:12" ht="42.75" customHeight="1">
      <c r="A75" s="81">
        <v>70</v>
      </c>
      <c r="B75" s="87" t="s">
        <v>220</v>
      </c>
      <c r="C75" s="72" t="s">
        <v>26</v>
      </c>
      <c r="D75" s="72" t="s">
        <v>221</v>
      </c>
      <c r="E75" s="89" t="s">
        <v>70</v>
      </c>
      <c r="F75" s="98" t="s">
        <v>222</v>
      </c>
      <c r="G75" s="87"/>
      <c r="H75" s="72"/>
      <c r="I75" s="114">
        <v>1200000</v>
      </c>
      <c r="J75" s="74" t="s">
        <v>45</v>
      </c>
      <c r="K75" s="74" t="s">
        <v>45</v>
      </c>
      <c r="L75" s="72"/>
    </row>
    <row r="76" spans="1:12" ht="42.75" customHeight="1">
      <c r="A76" s="81">
        <v>71</v>
      </c>
      <c r="B76" s="101" t="s">
        <v>223</v>
      </c>
      <c r="C76" s="102" t="s">
        <v>50</v>
      </c>
      <c r="D76" s="102" t="s">
        <v>39</v>
      </c>
      <c r="E76" s="102" t="s">
        <v>39</v>
      </c>
      <c r="F76" s="108" t="s">
        <v>224</v>
      </c>
      <c r="G76" s="102"/>
      <c r="H76" s="102"/>
      <c r="I76" s="113">
        <v>23000</v>
      </c>
      <c r="J76" s="111" t="s">
        <v>225</v>
      </c>
      <c r="K76" s="111" t="s">
        <v>225</v>
      </c>
      <c r="L76" s="102"/>
    </row>
    <row r="77" spans="1:12" ht="42.75" customHeight="1">
      <c r="A77" s="81">
        <v>72</v>
      </c>
      <c r="B77" s="90"/>
      <c r="C77" s="88" t="s">
        <v>50</v>
      </c>
      <c r="D77" s="88" t="s">
        <v>27</v>
      </c>
      <c r="E77" s="89" t="s">
        <v>189</v>
      </c>
      <c r="F77" s="72" t="s">
        <v>226</v>
      </c>
      <c r="G77" s="99"/>
      <c r="H77" s="88"/>
      <c r="I77" s="76"/>
      <c r="J77" s="74" t="s">
        <v>33</v>
      </c>
      <c r="K77" s="91"/>
      <c r="L77" s="72"/>
    </row>
    <row r="78" spans="1:12" ht="45.75" customHeight="1">
      <c r="A78" s="81">
        <v>73</v>
      </c>
      <c r="B78" s="109" t="s">
        <v>227</v>
      </c>
      <c r="C78" s="103" t="s">
        <v>50</v>
      </c>
      <c r="D78" s="103"/>
      <c r="E78" s="102"/>
      <c r="F78" s="110" t="s">
        <v>228</v>
      </c>
      <c r="G78" s="103"/>
      <c r="H78" s="103"/>
      <c r="I78" s="118">
        <v>45000</v>
      </c>
      <c r="J78" s="104" t="s">
        <v>229</v>
      </c>
      <c r="K78" s="104" t="s">
        <v>229</v>
      </c>
      <c r="L78" s="102"/>
    </row>
    <row r="79" spans="1:12" ht="45.75" customHeight="1">
      <c r="A79" s="81">
        <v>74</v>
      </c>
      <c r="B79" s="90" t="s">
        <v>230</v>
      </c>
      <c r="C79" s="88" t="s">
        <v>79</v>
      </c>
      <c r="D79" s="88" t="s">
        <v>231</v>
      </c>
      <c r="E79" s="72" t="s">
        <v>39</v>
      </c>
      <c r="F79" t="s">
        <v>232</v>
      </c>
      <c r="G79" s="88"/>
      <c r="H79" s="88"/>
      <c r="I79" s="119">
        <v>10000</v>
      </c>
      <c r="J79" s="74" t="s">
        <v>233</v>
      </c>
      <c r="K79" s="74" t="s">
        <v>233</v>
      </c>
      <c r="L79" s="72"/>
    </row>
    <row r="80" spans="1:12" ht="45.75" customHeight="1">
      <c r="A80" s="81">
        <v>75</v>
      </c>
      <c r="B80" s="109"/>
      <c r="C80" s="103"/>
      <c r="D80" s="103"/>
      <c r="E80" s="102"/>
      <c r="F80" s="103"/>
      <c r="G80" s="103"/>
      <c r="H80" s="103"/>
      <c r="I80" s="111"/>
      <c r="J80" s="104"/>
      <c r="K80" s="112"/>
      <c r="L80" s="102"/>
    </row>
    <row r="81" spans="1:12" ht="45.75" customHeight="1">
      <c r="A81" s="81">
        <v>76</v>
      </c>
      <c r="B81" s="90"/>
      <c r="C81" s="88"/>
      <c r="D81" s="88"/>
      <c r="E81" s="72"/>
      <c r="F81" s="88"/>
      <c r="G81" s="88"/>
      <c r="H81" s="88"/>
      <c r="I81" s="76"/>
      <c r="J81" s="74"/>
      <c r="K81" s="91"/>
      <c r="L81" s="72"/>
    </row>
    <row r="82" spans="1:12" ht="45.75" customHeight="1">
      <c r="A82" s="81">
        <v>77</v>
      </c>
      <c r="B82" s="109"/>
      <c r="C82" s="103"/>
      <c r="D82" s="103"/>
      <c r="E82" s="102"/>
      <c r="F82" s="103"/>
      <c r="G82" s="103"/>
      <c r="H82" s="103"/>
      <c r="I82" s="111"/>
      <c r="J82" s="104"/>
      <c r="K82" s="112"/>
      <c r="L82" s="102"/>
    </row>
    <row r="83" spans="1:12" ht="45.75" customHeight="1">
      <c r="A83" s="81">
        <v>78</v>
      </c>
      <c r="B83" s="90"/>
      <c r="C83" s="88"/>
      <c r="D83" s="88"/>
      <c r="E83" s="72"/>
      <c r="F83" s="88"/>
      <c r="G83" s="88"/>
      <c r="H83" s="88"/>
      <c r="I83" s="76"/>
      <c r="J83" s="74"/>
      <c r="K83" s="91"/>
      <c r="L83" s="72"/>
    </row>
    <row r="84" spans="1:12" ht="45.75" customHeight="1">
      <c r="A84" s="81">
        <v>79</v>
      </c>
      <c r="B84" s="90"/>
      <c r="C84" s="88"/>
      <c r="D84" s="88"/>
      <c r="E84" s="72"/>
      <c r="F84" s="88"/>
      <c r="G84" s="88"/>
      <c r="H84" s="88"/>
      <c r="I84" s="76"/>
      <c r="J84" s="74"/>
      <c r="K84" s="91"/>
      <c r="L84" s="72"/>
    </row>
    <row r="85" spans="1:12" ht="45.75" customHeight="1">
      <c r="A85" s="81">
        <v>80</v>
      </c>
      <c r="B85" s="90"/>
      <c r="C85" s="88"/>
      <c r="D85" s="88"/>
      <c r="E85" s="72"/>
      <c r="F85" s="88"/>
      <c r="G85" s="88"/>
      <c r="H85" s="88"/>
      <c r="I85" s="76"/>
      <c r="J85" s="74"/>
      <c r="K85" s="91"/>
      <c r="L85" s="72"/>
    </row>
    <row r="86" spans="1:12" ht="45.75" customHeight="1">
      <c r="A86" s="81">
        <v>81</v>
      </c>
      <c r="B86" s="90"/>
      <c r="C86" s="88"/>
      <c r="D86" s="88"/>
      <c r="E86" s="72"/>
      <c r="F86" s="88"/>
      <c r="G86" s="88"/>
      <c r="H86" s="88"/>
      <c r="I86" s="76"/>
      <c r="J86" s="74"/>
      <c r="K86" s="91"/>
      <c r="L86" s="72"/>
    </row>
    <row r="87" spans="1:12" ht="45.75" customHeight="1">
      <c r="A87" s="81">
        <v>82</v>
      </c>
      <c r="B87" s="90"/>
      <c r="C87" s="88"/>
      <c r="D87" s="88"/>
      <c r="E87" s="72"/>
      <c r="F87" s="88"/>
      <c r="G87" s="88"/>
      <c r="H87" s="88"/>
      <c r="I87" s="76"/>
      <c r="J87" s="74"/>
      <c r="K87" s="91"/>
      <c r="L87" s="72"/>
    </row>
    <row r="88" spans="1:12" ht="45.75" customHeight="1">
      <c r="A88" s="81">
        <v>83</v>
      </c>
      <c r="B88" s="90"/>
      <c r="C88" s="88"/>
      <c r="D88" s="88"/>
      <c r="E88" s="72"/>
      <c r="F88" s="88"/>
      <c r="G88" s="88"/>
      <c r="H88" s="88"/>
      <c r="I88" s="76"/>
      <c r="J88" s="74"/>
      <c r="K88" s="91"/>
      <c r="L88" s="72"/>
    </row>
    <row r="89" spans="1:12" ht="45.75" customHeight="1">
      <c r="A89" s="81">
        <v>84</v>
      </c>
      <c r="B89" s="90"/>
      <c r="C89" s="88"/>
      <c r="D89" s="88"/>
      <c r="E89" s="72"/>
      <c r="F89" s="88"/>
      <c r="G89" s="88"/>
      <c r="H89" s="88"/>
      <c r="I89" s="76"/>
      <c r="J89" s="74"/>
      <c r="K89" s="91"/>
      <c r="L89" s="72"/>
    </row>
    <row r="90" spans="1:12" ht="45.75" customHeight="1">
      <c r="A90" s="81">
        <v>85</v>
      </c>
      <c r="B90" s="90"/>
      <c r="C90" s="88"/>
      <c r="D90" s="88"/>
      <c r="E90" s="72"/>
      <c r="F90" s="88"/>
      <c r="G90" s="88"/>
      <c r="H90" s="88"/>
      <c r="I90" s="76"/>
      <c r="J90" s="74"/>
      <c r="K90" s="91"/>
      <c r="L90" s="72"/>
    </row>
    <row r="91" spans="1:12" ht="45.75" customHeight="1">
      <c r="A91" s="81">
        <v>86</v>
      </c>
      <c r="B91" s="90"/>
      <c r="C91" s="88"/>
      <c r="D91" s="88"/>
      <c r="E91" s="72"/>
      <c r="F91" s="88"/>
      <c r="G91" s="88"/>
      <c r="H91" s="88"/>
      <c r="I91" s="76"/>
      <c r="J91" s="74"/>
      <c r="K91" s="91"/>
      <c r="L91" s="72"/>
    </row>
    <row r="92" spans="1:12" ht="45.75" customHeight="1">
      <c r="A92" s="81">
        <v>87</v>
      </c>
      <c r="B92" s="90"/>
      <c r="C92" s="88"/>
      <c r="D92" s="88"/>
      <c r="E92" s="72"/>
      <c r="F92" s="88"/>
      <c r="G92" s="88"/>
      <c r="H92" s="88"/>
      <c r="I92" s="76"/>
      <c r="J92" s="74"/>
      <c r="K92" s="91"/>
      <c r="L92" s="72"/>
    </row>
    <row r="93" spans="1:12" ht="45.75" customHeight="1">
      <c r="A93" s="81">
        <v>88</v>
      </c>
      <c r="B93" s="90"/>
      <c r="C93" s="88"/>
      <c r="D93" s="88"/>
      <c r="E93" s="72"/>
      <c r="F93" s="88"/>
      <c r="G93" s="88"/>
      <c r="H93" s="88"/>
      <c r="I93" s="76"/>
      <c r="J93" s="74"/>
      <c r="K93" s="91"/>
      <c r="L93" s="72"/>
    </row>
    <row r="94" spans="1:12" ht="45.75" customHeight="1">
      <c r="A94" s="81">
        <v>89</v>
      </c>
      <c r="B94" s="91"/>
      <c r="C94" s="88"/>
      <c r="D94" s="88"/>
      <c r="E94" s="72"/>
      <c r="F94" s="88"/>
      <c r="G94" s="88"/>
      <c r="H94" s="88"/>
      <c r="I94" s="76"/>
      <c r="J94" s="74"/>
      <c r="K94" s="91"/>
      <c r="L94" s="72"/>
    </row>
    <row r="95" spans="1:12" ht="45.75" customHeight="1">
      <c r="A95" s="81">
        <v>90</v>
      </c>
      <c r="B95" s="91"/>
      <c r="C95" s="88"/>
      <c r="D95" s="88"/>
      <c r="E95" s="72"/>
      <c r="F95" s="88"/>
      <c r="G95" s="88"/>
      <c r="H95" s="88"/>
      <c r="I95" s="76"/>
      <c r="J95" s="74"/>
      <c r="K95" s="91"/>
      <c r="L95" s="72"/>
    </row>
    <row r="96" spans="1:12">
      <c r="A96" s="80"/>
    </row>
    <row r="97" spans="1:1">
      <c r="A97" s="80"/>
    </row>
    <row r="98" spans="1:1">
      <c r="A98" s="80"/>
    </row>
    <row r="99" spans="1:1">
      <c r="A99" s="80"/>
    </row>
    <row r="100" spans="1:1">
      <c r="A100" s="80"/>
    </row>
    <row r="101" spans="1:1">
      <c r="A101" s="80"/>
    </row>
    <row r="102" spans="1:1">
      <c r="A102" s="80"/>
    </row>
    <row r="103" spans="1:1">
      <c r="A103" s="80"/>
    </row>
    <row r="104" spans="1:1">
      <c r="A104" s="80"/>
    </row>
    <row r="105" spans="1:1">
      <c r="A105" s="80"/>
    </row>
    <row r="106" spans="1:1">
      <c r="A106" s="80"/>
    </row>
    <row r="107" spans="1:1">
      <c r="A107" s="80"/>
    </row>
    <row r="108" spans="1:1">
      <c r="A108" s="80"/>
    </row>
    <row r="109" spans="1:1">
      <c r="A109" s="80"/>
    </row>
    <row r="110" spans="1:1">
      <c r="A110" s="80"/>
    </row>
    <row r="111" spans="1:1">
      <c r="A111" s="80"/>
    </row>
    <row r="112" spans="1:1">
      <c r="A112" s="80"/>
    </row>
    <row r="113" spans="1:1">
      <c r="A113" s="80"/>
    </row>
    <row r="114" spans="1:1">
      <c r="A114" s="80"/>
    </row>
    <row r="115" spans="1:1">
      <c r="A115" s="80"/>
    </row>
    <row r="116" spans="1:1">
      <c r="A116" s="80"/>
    </row>
    <row r="117" spans="1:1">
      <c r="A117" s="8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4"/>
  <sheetViews>
    <sheetView topLeftCell="D12" workbookViewId="0">
      <selection activeCell="O31" sqref="O31"/>
    </sheetView>
  </sheetViews>
  <sheetFormatPr defaultRowHeight="16.5"/>
  <cols>
    <col min="1" max="1" width="16" customWidth="1"/>
    <col min="2" max="2" width="13.375" style="16" customWidth="1"/>
    <col min="3" max="3" width="14.875" style="16" customWidth="1"/>
    <col min="4" max="4" width="101.125" customWidth="1"/>
    <col min="5" max="6" width="13.375" style="16" customWidth="1"/>
    <col min="7" max="7" width="12.125" style="16" customWidth="1"/>
    <col min="8" max="8" width="16.75" style="16" customWidth="1"/>
    <col min="9" max="9" width="13.375" customWidth="1"/>
    <col min="10" max="13" width="14.5" customWidth="1"/>
    <col min="14" max="14" width="33.25" style="16" customWidth="1"/>
    <col min="15" max="15" width="30.125" customWidth="1"/>
    <col min="16" max="16" width="31.125" customWidth="1"/>
    <col min="17" max="17" width="26.875" customWidth="1"/>
    <col min="18" max="18" width="14.5" customWidth="1"/>
    <col min="19" max="19" width="36.125" customWidth="1"/>
    <col min="20" max="20" width="34.75" customWidth="1"/>
  </cols>
  <sheetData>
    <row r="1" spans="1:20">
      <c r="A1" s="1"/>
      <c r="B1" s="2"/>
      <c r="C1" s="2"/>
      <c r="D1" s="3" t="s">
        <v>234</v>
      </c>
      <c r="E1" s="2"/>
      <c r="F1" s="2"/>
      <c r="G1" s="2"/>
      <c r="H1" s="2"/>
      <c r="I1" s="1"/>
      <c r="J1" s="4" t="s">
        <v>235</v>
      </c>
      <c r="K1" s="5" t="s">
        <v>236</v>
      </c>
      <c r="L1" s="6" t="s">
        <v>237</v>
      </c>
      <c r="M1" s="1" t="s">
        <v>238</v>
      </c>
      <c r="N1" s="2"/>
      <c r="O1" s="1"/>
      <c r="P1" s="1"/>
      <c r="Q1" s="1"/>
      <c r="R1" s="1"/>
      <c r="S1" s="1"/>
      <c r="T1" s="1"/>
    </row>
    <row r="2" spans="1:20">
      <c r="A2" s="1"/>
      <c r="B2" s="2"/>
      <c r="C2" s="2"/>
      <c r="D2" s="1" t="s">
        <v>239</v>
      </c>
      <c r="E2" s="2"/>
      <c r="F2" s="2"/>
      <c r="G2" s="2"/>
      <c r="H2" s="2"/>
      <c r="I2" s="1"/>
      <c r="J2" s="7" t="s">
        <v>15</v>
      </c>
      <c r="K2" s="8">
        <v>1000000</v>
      </c>
      <c r="L2" s="9">
        <f>SUMIFS(M8:M62,E8:E62,J2)</f>
        <v>977090</v>
      </c>
      <c r="M2" s="10">
        <f>K2-L2</f>
        <v>22910</v>
      </c>
      <c r="N2" s="2"/>
      <c r="O2" s="1"/>
      <c r="P2" s="1"/>
      <c r="Q2" s="1"/>
      <c r="R2" s="11"/>
      <c r="S2" s="1"/>
      <c r="T2" s="1"/>
    </row>
    <row r="3" spans="1:20">
      <c r="A3" s="1"/>
      <c r="B3" s="2"/>
      <c r="C3" s="2"/>
      <c r="D3" s="3" t="s">
        <v>240</v>
      </c>
      <c r="E3" s="2"/>
      <c r="F3" s="2"/>
      <c r="G3" s="2"/>
      <c r="H3" s="2"/>
      <c r="I3" s="1"/>
      <c r="J3" s="7" t="s">
        <v>241</v>
      </c>
      <c r="K3" s="8">
        <v>1000000</v>
      </c>
      <c r="L3" s="9">
        <f>SUMIFS(M8:M62,E8:E62,J3)</f>
        <v>582966</v>
      </c>
      <c r="M3" s="10">
        <f>K3-L3</f>
        <v>417034</v>
      </c>
      <c r="N3" s="2"/>
      <c r="O3" s="1"/>
      <c r="P3" s="1"/>
      <c r="Q3" s="1"/>
      <c r="R3" s="11"/>
      <c r="S3" s="1"/>
      <c r="T3" s="1"/>
    </row>
    <row r="4" spans="1:20">
      <c r="A4" s="1"/>
      <c r="B4" s="2"/>
      <c r="C4" s="2"/>
      <c r="E4" s="2"/>
      <c r="F4" s="2"/>
      <c r="G4" s="2"/>
      <c r="H4" s="2"/>
      <c r="I4" s="1"/>
      <c r="J4" s="7" t="s">
        <v>242</v>
      </c>
      <c r="K4" s="8">
        <v>4000000</v>
      </c>
      <c r="L4" s="9">
        <f>SUMIFS(M8:M62,E8:E62,J4)</f>
        <v>2370000</v>
      </c>
      <c r="M4" s="10">
        <f>K4-L4</f>
        <v>1630000</v>
      </c>
      <c r="N4" s="12" t="s">
        <v>243</v>
      </c>
      <c r="O4" s="1"/>
      <c r="P4" s="1"/>
      <c r="Q4" s="1"/>
      <c r="R4" s="11"/>
      <c r="S4" s="1"/>
      <c r="T4" s="1"/>
    </row>
    <row r="5" spans="1:20">
      <c r="A5" s="1"/>
      <c r="B5" s="2"/>
      <c r="C5" s="2"/>
      <c r="E5" s="2"/>
      <c r="F5" s="2"/>
      <c r="G5" s="2"/>
      <c r="H5" s="2"/>
      <c r="I5" s="1"/>
      <c r="J5" s="13" t="s">
        <v>244</v>
      </c>
      <c r="K5" s="14">
        <f>SUM(K2:K4)</f>
        <v>6000000</v>
      </c>
      <c r="L5" s="14">
        <f>SUM(L2:L4)</f>
        <v>3930056</v>
      </c>
      <c r="M5" s="10">
        <f>K5-L5</f>
        <v>2069944</v>
      </c>
      <c r="N5" s="2"/>
      <c r="O5" s="1"/>
      <c r="P5" s="1"/>
      <c r="Q5" s="1"/>
      <c r="R5" s="11"/>
      <c r="S5" s="1"/>
      <c r="T5" s="1"/>
    </row>
    <row r="6" spans="1:20">
      <c r="A6" s="1" t="s">
        <v>15</v>
      </c>
      <c r="B6" s="2"/>
      <c r="C6" s="2"/>
      <c r="D6" s="1"/>
      <c r="E6" s="2"/>
      <c r="F6" s="2"/>
      <c r="G6" s="2"/>
      <c r="H6" s="2"/>
      <c r="I6" s="1"/>
      <c r="J6" s="1"/>
      <c r="K6" s="1"/>
      <c r="L6" s="1"/>
      <c r="M6" s="1"/>
      <c r="N6" s="2"/>
      <c r="O6" s="1"/>
      <c r="P6" s="1"/>
      <c r="Q6" s="1"/>
      <c r="R6" s="1"/>
      <c r="S6" s="1"/>
      <c r="T6" s="1"/>
    </row>
    <row r="7" spans="1:20" s="16" customFormat="1" ht="27">
      <c r="A7" s="38" t="s">
        <v>245</v>
      </c>
      <c r="B7" s="39" t="s">
        <v>246</v>
      </c>
      <c r="C7" s="39" t="s">
        <v>247</v>
      </c>
      <c r="D7" s="39" t="s">
        <v>7</v>
      </c>
      <c r="E7" s="39" t="s">
        <v>248</v>
      </c>
      <c r="F7" s="39" t="s">
        <v>249</v>
      </c>
      <c r="G7" s="39" t="s">
        <v>250</v>
      </c>
      <c r="H7" s="39" t="s">
        <v>251</v>
      </c>
      <c r="I7" s="39" t="s">
        <v>252</v>
      </c>
      <c r="J7" s="39" t="s">
        <v>253</v>
      </c>
      <c r="K7" s="39" t="s">
        <v>254</v>
      </c>
      <c r="L7" s="39" t="s">
        <v>255</v>
      </c>
      <c r="M7" s="39" t="s">
        <v>256</v>
      </c>
      <c r="N7" s="39" t="s">
        <v>11</v>
      </c>
      <c r="O7" s="39" t="s">
        <v>12</v>
      </c>
      <c r="P7" s="39" t="s">
        <v>3</v>
      </c>
      <c r="Q7" s="39" t="s">
        <v>257</v>
      </c>
      <c r="R7" s="39" t="s">
        <v>258</v>
      </c>
      <c r="S7" s="40" t="s">
        <v>13</v>
      </c>
    </row>
    <row r="8" spans="1:20">
      <c r="A8" s="21" t="s">
        <v>259</v>
      </c>
      <c r="B8" s="17" t="s">
        <v>260</v>
      </c>
      <c r="C8" s="17" t="s">
        <v>261</v>
      </c>
      <c r="D8" s="3" t="s">
        <v>262</v>
      </c>
      <c r="E8" s="17" t="s">
        <v>15</v>
      </c>
      <c r="F8" s="17" t="s">
        <v>263</v>
      </c>
      <c r="G8" s="17"/>
      <c r="H8" s="17"/>
      <c r="I8" s="18">
        <f>J8+K8</f>
        <v>175000</v>
      </c>
      <c r="J8" s="18">
        <v>150000</v>
      </c>
      <c r="K8" s="18">
        <v>25000</v>
      </c>
      <c r="L8" s="19">
        <v>1</v>
      </c>
      <c r="M8" s="18">
        <f>I8*L8</f>
        <v>175000</v>
      </c>
      <c r="N8" s="3" t="s">
        <v>261</v>
      </c>
      <c r="O8" s="3" t="s">
        <v>21</v>
      </c>
      <c r="P8" s="3" t="s">
        <v>264</v>
      </c>
      <c r="Q8" s="3" t="s">
        <v>261</v>
      </c>
      <c r="R8" s="17"/>
      <c r="S8" s="22" t="s">
        <v>261</v>
      </c>
    </row>
    <row r="9" spans="1:20">
      <c r="A9" s="21" t="s">
        <v>259</v>
      </c>
      <c r="B9" s="17" t="s">
        <v>260</v>
      </c>
      <c r="C9" s="17" t="s">
        <v>261</v>
      </c>
      <c r="D9" s="3" t="s">
        <v>265</v>
      </c>
      <c r="E9" s="17" t="s">
        <v>15</v>
      </c>
      <c r="F9" s="17" t="s">
        <v>263</v>
      </c>
      <c r="G9" s="17"/>
      <c r="H9" s="17"/>
      <c r="I9" s="18">
        <f>J9+K9</f>
        <v>175000</v>
      </c>
      <c r="J9" s="18">
        <v>150000</v>
      </c>
      <c r="K9" s="18">
        <v>25000</v>
      </c>
      <c r="L9" s="19">
        <v>1</v>
      </c>
      <c r="M9" s="18">
        <f>I9*L9</f>
        <v>175000</v>
      </c>
      <c r="N9" s="3" t="s">
        <v>261</v>
      </c>
      <c r="O9" s="3" t="s">
        <v>21</v>
      </c>
      <c r="P9" s="3" t="s">
        <v>264</v>
      </c>
      <c r="Q9" s="3" t="s">
        <v>261</v>
      </c>
      <c r="R9" s="17"/>
      <c r="S9" s="22" t="s">
        <v>261</v>
      </c>
    </row>
    <row r="10" spans="1:20">
      <c r="A10" s="21" t="s">
        <v>259</v>
      </c>
      <c r="B10" s="17" t="s">
        <v>260</v>
      </c>
      <c r="C10" s="17" t="s">
        <v>261</v>
      </c>
      <c r="D10" s="3" t="s">
        <v>266</v>
      </c>
      <c r="E10" s="17" t="s">
        <v>15</v>
      </c>
      <c r="F10" s="17" t="s">
        <v>263</v>
      </c>
      <c r="G10" s="17" t="s">
        <v>267</v>
      </c>
      <c r="H10" s="17"/>
      <c r="I10" s="18">
        <f>J10+K10</f>
        <v>275000</v>
      </c>
      <c r="J10" s="18">
        <v>250000</v>
      </c>
      <c r="K10" s="18">
        <v>25000</v>
      </c>
      <c r="L10" s="19">
        <v>1</v>
      </c>
      <c r="M10" s="18">
        <f>I10*L10</f>
        <v>275000</v>
      </c>
      <c r="N10" s="3" t="s">
        <v>33</v>
      </c>
      <c r="O10" s="3" t="s">
        <v>261</v>
      </c>
      <c r="P10" s="3" t="s">
        <v>268</v>
      </c>
      <c r="Q10" s="3" t="s">
        <v>261</v>
      </c>
      <c r="R10" s="17" t="s">
        <v>261</v>
      </c>
      <c r="S10" s="22" t="s">
        <v>261</v>
      </c>
    </row>
    <row r="11" spans="1:20" ht="27">
      <c r="A11" s="21" t="s">
        <v>259</v>
      </c>
      <c r="B11" s="17" t="s">
        <v>260</v>
      </c>
      <c r="C11" s="17"/>
      <c r="D11" s="3" t="s">
        <v>269</v>
      </c>
      <c r="E11" s="17" t="s">
        <v>15</v>
      </c>
      <c r="F11" s="17" t="s">
        <v>270</v>
      </c>
      <c r="G11" s="17" t="s">
        <v>271</v>
      </c>
      <c r="H11" s="58" t="s">
        <v>272</v>
      </c>
      <c r="I11" s="18">
        <v>300000</v>
      </c>
      <c r="J11" s="18"/>
      <c r="K11" s="18"/>
      <c r="L11" s="19"/>
      <c r="M11" s="18">
        <f>I11*L11</f>
        <v>0</v>
      </c>
      <c r="N11" s="3" t="s">
        <v>146</v>
      </c>
      <c r="O11" s="3" t="s">
        <v>82</v>
      </c>
      <c r="P11" s="3"/>
      <c r="Q11" s="3"/>
      <c r="R11" s="17"/>
      <c r="S11" s="22"/>
    </row>
    <row r="12" spans="1:20">
      <c r="A12" s="21" t="s">
        <v>273</v>
      </c>
      <c r="B12" s="17" t="s">
        <v>274</v>
      </c>
      <c r="C12" s="17"/>
      <c r="D12" s="3" t="s">
        <v>275</v>
      </c>
      <c r="E12" s="17" t="s">
        <v>15</v>
      </c>
      <c r="F12" s="17" t="s">
        <v>276</v>
      </c>
      <c r="G12" s="17"/>
      <c r="H12" s="17"/>
      <c r="I12" s="18">
        <f>J12+K12</f>
        <v>2400030</v>
      </c>
      <c r="J12" s="18">
        <v>1860030</v>
      </c>
      <c r="K12" s="18">
        <v>540000</v>
      </c>
      <c r="L12" s="19">
        <v>1</v>
      </c>
      <c r="M12" s="18">
        <v>133340</v>
      </c>
      <c r="N12" s="3" t="s">
        <v>277</v>
      </c>
      <c r="O12" s="3" t="s">
        <v>278</v>
      </c>
      <c r="P12" s="3" t="s">
        <v>279</v>
      </c>
      <c r="Q12" s="3" t="s">
        <v>261</v>
      </c>
      <c r="R12" s="17"/>
      <c r="S12" s="22" t="s">
        <v>261</v>
      </c>
    </row>
    <row r="13" spans="1:20">
      <c r="A13" s="21" t="s">
        <v>273</v>
      </c>
      <c r="B13" s="17" t="s">
        <v>274</v>
      </c>
      <c r="C13" s="17"/>
      <c r="D13" s="3" t="s">
        <v>280</v>
      </c>
      <c r="E13" s="17" t="s">
        <v>15</v>
      </c>
      <c r="F13" s="17" t="s">
        <v>276</v>
      </c>
      <c r="G13" s="17"/>
      <c r="H13" s="17"/>
      <c r="I13" s="18">
        <f>J13+K13</f>
        <v>1200000</v>
      </c>
      <c r="J13" s="18">
        <v>900000</v>
      </c>
      <c r="K13" s="20">
        <v>300000</v>
      </c>
      <c r="L13" s="19">
        <v>0.2</v>
      </c>
      <c r="M13" s="18">
        <v>50000</v>
      </c>
      <c r="N13" s="3" t="s">
        <v>277</v>
      </c>
      <c r="O13" s="3" t="s">
        <v>278</v>
      </c>
      <c r="P13" s="3" t="s">
        <v>281</v>
      </c>
      <c r="Q13" s="3" t="s">
        <v>261</v>
      </c>
      <c r="R13" s="17"/>
      <c r="S13" s="22" t="s">
        <v>261</v>
      </c>
    </row>
    <row r="14" spans="1:20">
      <c r="A14" s="21" t="s">
        <v>273</v>
      </c>
      <c r="B14" s="17" t="s">
        <v>274</v>
      </c>
      <c r="C14" s="17"/>
      <c r="D14" s="3" t="s">
        <v>221</v>
      </c>
      <c r="E14" s="17" t="s">
        <v>15</v>
      </c>
      <c r="F14" s="17" t="s">
        <v>276</v>
      </c>
      <c r="G14" s="17"/>
      <c r="H14" s="17"/>
      <c r="I14" s="18"/>
      <c r="J14" s="18"/>
      <c r="K14" s="3"/>
      <c r="L14" s="19"/>
      <c r="M14" s="18"/>
      <c r="N14" s="17"/>
      <c r="O14" s="3"/>
      <c r="P14" s="3"/>
      <c r="Q14" s="3"/>
      <c r="R14" s="17"/>
      <c r="S14" s="22"/>
    </row>
    <row r="15" spans="1:20">
      <c r="A15" s="21" t="s">
        <v>273</v>
      </c>
      <c r="B15" s="17" t="s">
        <v>274</v>
      </c>
      <c r="C15" s="17"/>
      <c r="D15" s="3" t="s">
        <v>221</v>
      </c>
      <c r="E15" s="17" t="s">
        <v>15</v>
      </c>
      <c r="F15" s="17" t="s">
        <v>276</v>
      </c>
      <c r="G15" s="17"/>
      <c r="H15" s="17"/>
      <c r="I15" s="18"/>
      <c r="J15" s="18"/>
      <c r="K15" s="3"/>
      <c r="L15" s="19"/>
      <c r="M15" s="18"/>
      <c r="N15" s="3" t="s">
        <v>261</v>
      </c>
      <c r="O15" s="3" t="s">
        <v>261</v>
      </c>
      <c r="P15" s="3" t="s">
        <v>261</v>
      </c>
      <c r="Q15" s="3" t="s">
        <v>261</v>
      </c>
      <c r="R15" s="17" t="s">
        <v>261</v>
      </c>
      <c r="S15" s="22" t="s">
        <v>261</v>
      </c>
    </row>
    <row r="16" spans="1:20">
      <c r="A16" s="21"/>
      <c r="B16" s="17"/>
      <c r="C16" s="17"/>
      <c r="D16" s="3"/>
      <c r="E16" s="17"/>
      <c r="F16" s="17"/>
      <c r="G16" s="17"/>
      <c r="H16" s="17"/>
      <c r="I16" s="18"/>
      <c r="J16" s="18"/>
      <c r="K16" s="3"/>
      <c r="L16" s="19"/>
      <c r="M16" s="18"/>
      <c r="N16" s="3"/>
      <c r="O16" s="3"/>
      <c r="P16" s="3"/>
      <c r="Q16" s="3"/>
      <c r="R16" s="17"/>
      <c r="S16" s="22"/>
    </row>
    <row r="17" spans="1:19">
      <c r="A17" s="21" t="s">
        <v>282</v>
      </c>
      <c r="B17" s="17" t="s">
        <v>274</v>
      </c>
      <c r="C17" s="17" t="s">
        <v>274</v>
      </c>
      <c r="D17" s="3" t="s">
        <v>283</v>
      </c>
      <c r="E17" s="17" t="s">
        <v>15</v>
      </c>
      <c r="F17" s="17" t="s">
        <v>276</v>
      </c>
      <c r="G17" s="17"/>
      <c r="H17" s="17"/>
      <c r="I17" s="18">
        <f>J17+K17</f>
        <v>562500</v>
      </c>
      <c r="J17" s="18">
        <v>500000</v>
      </c>
      <c r="K17" s="20">
        <v>62500</v>
      </c>
      <c r="L17" s="19">
        <v>0.3</v>
      </c>
      <c r="M17" s="18">
        <f>I17*L17</f>
        <v>168750</v>
      </c>
      <c r="N17" s="3" t="s">
        <v>284</v>
      </c>
      <c r="O17" s="3" t="s">
        <v>285</v>
      </c>
      <c r="P17" s="3"/>
      <c r="Q17" s="3" t="s">
        <v>286</v>
      </c>
      <c r="R17" s="17"/>
      <c r="S17" s="22"/>
    </row>
    <row r="18" spans="1:19">
      <c r="A18" s="21"/>
      <c r="B18" s="17"/>
      <c r="C18" s="17"/>
      <c r="D18" s="3"/>
      <c r="E18" s="17"/>
      <c r="F18" s="17"/>
      <c r="G18" s="17"/>
      <c r="H18" s="17"/>
      <c r="I18" s="18"/>
      <c r="J18" s="18"/>
      <c r="K18" s="3"/>
      <c r="L18" s="19"/>
      <c r="M18" s="18"/>
      <c r="N18" s="3"/>
      <c r="O18" s="3"/>
      <c r="P18" s="3"/>
      <c r="Q18" s="3"/>
      <c r="R18" s="17"/>
      <c r="S18" s="22"/>
    </row>
    <row r="19" spans="1:19">
      <c r="A19" s="21"/>
      <c r="B19" s="17"/>
      <c r="C19" s="17"/>
      <c r="D19" s="3"/>
      <c r="E19" s="17"/>
      <c r="F19" s="17"/>
      <c r="G19" s="17"/>
      <c r="H19" s="17"/>
      <c r="I19" s="18"/>
      <c r="J19" s="18"/>
      <c r="K19" s="3"/>
      <c r="L19" s="19"/>
      <c r="M19" s="18"/>
      <c r="N19" s="3"/>
      <c r="O19" s="3"/>
      <c r="P19" s="3"/>
      <c r="Q19" s="3"/>
      <c r="R19" s="17"/>
      <c r="S19" s="22"/>
    </row>
    <row r="20" spans="1:19">
      <c r="A20" s="21"/>
      <c r="B20" s="17"/>
      <c r="C20" s="17"/>
      <c r="D20" s="3"/>
      <c r="E20" s="17"/>
      <c r="F20" s="17"/>
      <c r="G20" s="17"/>
      <c r="H20" s="17"/>
      <c r="I20" s="18"/>
      <c r="J20" s="18"/>
      <c r="K20" s="3"/>
      <c r="L20" s="19"/>
      <c r="M20" s="18"/>
      <c r="N20" s="3"/>
      <c r="O20" s="3"/>
      <c r="P20" s="3"/>
      <c r="Q20" s="3"/>
      <c r="R20" s="17"/>
      <c r="S20" s="22"/>
    </row>
    <row r="21" spans="1:19">
      <c r="A21" s="28"/>
      <c r="B21" s="29"/>
      <c r="C21" s="29"/>
      <c r="D21" s="30"/>
      <c r="E21" s="29"/>
      <c r="F21" s="29"/>
      <c r="G21" s="29"/>
      <c r="H21" s="29"/>
      <c r="I21" s="31"/>
      <c r="J21" s="31"/>
      <c r="K21" s="30"/>
      <c r="L21" s="32"/>
      <c r="M21" s="31"/>
      <c r="N21" s="30"/>
      <c r="O21" s="30"/>
      <c r="P21" s="30"/>
      <c r="Q21" s="30"/>
      <c r="R21" s="29"/>
      <c r="S21" s="33"/>
    </row>
    <row r="22" spans="1:19">
      <c r="A22" s="28"/>
      <c r="B22" s="29"/>
      <c r="C22" s="29"/>
      <c r="D22" s="30"/>
      <c r="E22" s="29"/>
      <c r="F22" s="29"/>
      <c r="G22" s="29"/>
      <c r="H22" s="29"/>
      <c r="I22" s="31"/>
      <c r="J22" s="31"/>
      <c r="K22" s="30"/>
      <c r="L22" s="32"/>
      <c r="M22" s="31"/>
      <c r="N22" s="30"/>
      <c r="O22" s="30"/>
      <c r="P22" s="30"/>
      <c r="Q22" s="30"/>
      <c r="R22" s="29"/>
      <c r="S22" s="33"/>
    </row>
    <row r="23" spans="1:19">
      <c r="A23" s="3" t="s">
        <v>287</v>
      </c>
      <c r="B23" s="17"/>
      <c r="C23" s="17"/>
      <c r="D23" s="3"/>
      <c r="E23" s="17"/>
      <c r="F23" s="17"/>
      <c r="G23" s="17"/>
      <c r="H23" s="17"/>
      <c r="I23" s="18"/>
      <c r="J23" s="18"/>
      <c r="K23" s="3"/>
      <c r="L23" s="19"/>
      <c r="M23" s="18"/>
      <c r="N23" s="3"/>
      <c r="O23" s="3"/>
      <c r="P23" s="3"/>
      <c r="Q23" s="3"/>
      <c r="R23" s="17"/>
      <c r="S23" s="3"/>
    </row>
    <row r="24" spans="1:19">
      <c r="A24" s="15" t="s">
        <v>245</v>
      </c>
      <c r="B24" s="15" t="s">
        <v>246</v>
      </c>
      <c r="C24" s="15" t="s">
        <v>247</v>
      </c>
      <c r="D24" s="15" t="s">
        <v>7</v>
      </c>
      <c r="E24" s="15" t="s">
        <v>248</v>
      </c>
      <c r="F24" s="15" t="s">
        <v>249</v>
      </c>
      <c r="G24" s="15" t="s">
        <v>250</v>
      </c>
      <c r="H24" s="15" t="s">
        <v>251</v>
      </c>
      <c r="I24" s="15" t="s">
        <v>288</v>
      </c>
      <c r="J24" s="15" t="s">
        <v>289</v>
      </c>
      <c r="K24" s="15" t="s">
        <v>290</v>
      </c>
      <c r="L24" s="15" t="s">
        <v>255</v>
      </c>
      <c r="M24" s="15" t="s">
        <v>256</v>
      </c>
      <c r="N24" s="15" t="s">
        <v>11</v>
      </c>
      <c r="O24" s="15" t="s">
        <v>12</v>
      </c>
      <c r="P24" s="15" t="s">
        <v>3</v>
      </c>
      <c r="Q24" s="15" t="s">
        <v>257</v>
      </c>
      <c r="R24" s="15" t="s">
        <v>258</v>
      </c>
      <c r="S24" s="15" t="s">
        <v>13</v>
      </c>
    </row>
    <row r="25" spans="1:19">
      <c r="A25" s="21" t="s">
        <v>259</v>
      </c>
      <c r="B25" s="17" t="s">
        <v>260</v>
      </c>
      <c r="C25" s="17" t="s">
        <v>261</v>
      </c>
      <c r="D25" s="3" t="s">
        <v>291</v>
      </c>
      <c r="E25" s="17" t="s">
        <v>242</v>
      </c>
      <c r="F25" s="17" t="s">
        <v>263</v>
      </c>
      <c r="G25" s="17"/>
      <c r="H25" s="17"/>
      <c r="I25" s="18">
        <f t="shared" ref="I25:I33" si="0">J25+K25</f>
        <v>120000</v>
      </c>
      <c r="J25" s="18">
        <v>120000</v>
      </c>
      <c r="K25" s="3">
        <v>0</v>
      </c>
      <c r="L25" s="19">
        <v>1</v>
      </c>
      <c r="M25" s="18">
        <f t="shared" ref="M25:M33" si="1">I25*L25</f>
        <v>120000</v>
      </c>
      <c r="N25" s="3" t="s">
        <v>292</v>
      </c>
      <c r="O25" s="3" t="s">
        <v>293</v>
      </c>
      <c r="P25" s="3" t="s">
        <v>294</v>
      </c>
      <c r="Q25" s="3" t="s">
        <v>261</v>
      </c>
      <c r="R25" s="17" t="s">
        <v>261</v>
      </c>
      <c r="S25" s="22" t="s">
        <v>261</v>
      </c>
    </row>
    <row r="26" spans="1:19">
      <c r="A26" s="21" t="s">
        <v>295</v>
      </c>
      <c r="B26" s="23" t="s">
        <v>274</v>
      </c>
      <c r="C26" s="23">
        <v>25.02</v>
      </c>
      <c r="D26" s="24" t="s">
        <v>296</v>
      </c>
      <c r="E26" s="23" t="s">
        <v>242</v>
      </c>
      <c r="F26" s="23" t="s">
        <v>263</v>
      </c>
      <c r="G26" s="23" t="s">
        <v>297</v>
      </c>
      <c r="H26" s="23"/>
      <c r="I26" s="18">
        <f t="shared" si="0"/>
        <v>3300000</v>
      </c>
      <c r="J26" s="25">
        <v>2640000</v>
      </c>
      <c r="K26" s="25">
        <v>660000</v>
      </c>
      <c r="L26" s="26">
        <v>0.5</v>
      </c>
      <c r="M26" s="18">
        <f t="shared" si="1"/>
        <v>1650000</v>
      </c>
      <c r="N26" s="24" t="s">
        <v>284</v>
      </c>
      <c r="O26" s="24" t="s">
        <v>298</v>
      </c>
      <c r="P26" s="24" t="s">
        <v>299</v>
      </c>
      <c r="Q26" s="24" t="s">
        <v>286</v>
      </c>
      <c r="R26" s="23" t="s">
        <v>300</v>
      </c>
      <c r="S26" s="27" t="s">
        <v>301</v>
      </c>
    </row>
    <row r="27" spans="1:19">
      <c r="A27" s="21" t="s">
        <v>282</v>
      </c>
      <c r="B27" s="23" t="s">
        <v>274</v>
      </c>
      <c r="C27" s="23">
        <v>24.12</v>
      </c>
      <c r="D27" s="24" t="s">
        <v>302</v>
      </c>
      <c r="E27" s="23" t="s">
        <v>242</v>
      </c>
      <c r="F27" s="23" t="s">
        <v>276</v>
      </c>
      <c r="G27" s="23" t="s">
        <v>303</v>
      </c>
      <c r="H27" s="23"/>
      <c r="I27" s="18">
        <f t="shared" si="0"/>
        <v>300000</v>
      </c>
      <c r="J27" s="25">
        <v>300000</v>
      </c>
      <c r="K27" s="24">
        <v>0</v>
      </c>
      <c r="L27" s="26">
        <v>1</v>
      </c>
      <c r="M27" s="18">
        <f t="shared" si="1"/>
        <v>300000</v>
      </c>
      <c r="N27" s="24" t="s">
        <v>146</v>
      </c>
      <c r="O27" s="24" t="s">
        <v>161</v>
      </c>
      <c r="P27" s="24" t="s">
        <v>299</v>
      </c>
      <c r="Q27" s="24" t="s">
        <v>286</v>
      </c>
      <c r="R27" s="23" t="s">
        <v>304</v>
      </c>
      <c r="S27" s="27" t="s">
        <v>261</v>
      </c>
    </row>
    <row r="28" spans="1:19">
      <c r="A28" s="21" t="s">
        <v>282</v>
      </c>
      <c r="B28" s="17" t="s">
        <v>274</v>
      </c>
      <c r="C28" s="17">
        <v>25.01</v>
      </c>
      <c r="D28" s="3" t="s">
        <v>305</v>
      </c>
      <c r="E28" s="17" t="s">
        <v>242</v>
      </c>
      <c r="F28" s="17" t="s">
        <v>270</v>
      </c>
      <c r="G28" s="17"/>
      <c r="H28" s="17"/>
      <c r="I28" s="18">
        <f t="shared" si="0"/>
        <v>100000</v>
      </c>
      <c r="J28" s="18">
        <v>100000</v>
      </c>
      <c r="K28" s="3">
        <v>0</v>
      </c>
      <c r="L28" s="19">
        <v>1</v>
      </c>
      <c r="M28" s="18">
        <f t="shared" si="1"/>
        <v>100000</v>
      </c>
      <c r="N28" s="3" t="s">
        <v>306</v>
      </c>
      <c r="O28" s="3" t="s">
        <v>307</v>
      </c>
      <c r="P28" s="3" t="s">
        <v>308</v>
      </c>
      <c r="Q28" s="3" t="s">
        <v>261</v>
      </c>
      <c r="R28" s="17" t="s">
        <v>261</v>
      </c>
      <c r="S28" s="22" t="s">
        <v>261</v>
      </c>
    </row>
    <row r="29" spans="1:19">
      <c r="A29" s="21" t="s">
        <v>282</v>
      </c>
      <c r="B29" s="17" t="s">
        <v>274</v>
      </c>
      <c r="C29" s="17" t="s">
        <v>274</v>
      </c>
      <c r="D29" s="3" t="s">
        <v>309</v>
      </c>
      <c r="E29" s="17" t="s">
        <v>242</v>
      </c>
      <c r="F29" s="17" t="s">
        <v>263</v>
      </c>
      <c r="G29" s="17"/>
      <c r="H29" s="17"/>
      <c r="I29" s="18">
        <f t="shared" si="0"/>
        <v>200000</v>
      </c>
      <c r="J29" s="18">
        <v>200000</v>
      </c>
      <c r="K29" s="3">
        <v>0</v>
      </c>
      <c r="L29" s="19">
        <v>1</v>
      </c>
      <c r="M29" s="18">
        <f t="shared" si="1"/>
        <v>200000</v>
      </c>
      <c r="N29" s="3" t="s">
        <v>261</v>
      </c>
      <c r="O29" s="3" t="s">
        <v>261</v>
      </c>
      <c r="P29" s="3" t="s">
        <v>261</v>
      </c>
      <c r="Q29" s="3" t="s">
        <v>261</v>
      </c>
      <c r="R29" s="17" t="s">
        <v>261</v>
      </c>
      <c r="S29" s="22" t="s">
        <v>261</v>
      </c>
    </row>
    <row r="30" spans="1:19">
      <c r="A30" s="21" t="s">
        <v>282</v>
      </c>
      <c r="B30" s="23" t="s">
        <v>274</v>
      </c>
      <c r="C30" s="23" t="s">
        <v>274</v>
      </c>
      <c r="D30" s="24" t="s">
        <v>310</v>
      </c>
      <c r="E30" s="23" t="s">
        <v>241</v>
      </c>
      <c r="F30" s="23" t="s">
        <v>270</v>
      </c>
      <c r="G30" s="23"/>
      <c r="H30" s="23"/>
      <c r="I30" s="18">
        <f t="shared" si="0"/>
        <v>450000</v>
      </c>
      <c r="J30" s="18">
        <v>300000</v>
      </c>
      <c r="K30" s="18">
        <v>150000</v>
      </c>
      <c r="L30" s="19">
        <v>0.3</v>
      </c>
      <c r="M30" s="18">
        <f t="shared" si="1"/>
        <v>135000</v>
      </c>
      <c r="N30" s="3" t="s">
        <v>67</v>
      </c>
      <c r="O30" s="3" t="s">
        <v>311</v>
      </c>
      <c r="P30" s="3" t="s">
        <v>261</v>
      </c>
      <c r="Q30" s="3" t="s">
        <v>261</v>
      </c>
      <c r="R30" s="17" t="s">
        <v>261</v>
      </c>
      <c r="S30" s="22" t="s">
        <v>261</v>
      </c>
    </row>
    <row r="31" spans="1:19">
      <c r="A31" s="21" t="s">
        <v>282</v>
      </c>
      <c r="B31" s="17" t="s">
        <v>274</v>
      </c>
      <c r="C31" s="17"/>
      <c r="D31" s="3" t="s">
        <v>312</v>
      </c>
      <c r="E31" s="17" t="s">
        <v>241</v>
      </c>
      <c r="F31" s="17" t="s">
        <v>270</v>
      </c>
      <c r="G31" s="17"/>
      <c r="H31" s="17"/>
      <c r="I31" s="18">
        <f t="shared" si="0"/>
        <v>60000</v>
      </c>
      <c r="J31" s="18">
        <v>50000</v>
      </c>
      <c r="K31" s="18">
        <v>10000</v>
      </c>
      <c r="L31" s="19">
        <v>0.2</v>
      </c>
      <c r="M31" s="18">
        <f t="shared" si="1"/>
        <v>12000</v>
      </c>
      <c r="N31" s="3" t="s">
        <v>67</v>
      </c>
      <c r="O31" s="3" t="s">
        <v>313</v>
      </c>
      <c r="P31" s="3" t="s">
        <v>314</v>
      </c>
      <c r="Q31" s="3" t="s">
        <v>261</v>
      </c>
      <c r="R31" s="17" t="s">
        <v>315</v>
      </c>
      <c r="S31" s="22" t="s">
        <v>261</v>
      </c>
    </row>
    <row r="32" spans="1:19">
      <c r="A32" s="21" t="s">
        <v>282</v>
      </c>
      <c r="B32" s="17" t="s">
        <v>274</v>
      </c>
      <c r="C32" s="17"/>
      <c r="D32" s="3" t="s">
        <v>316</v>
      </c>
      <c r="E32" s="17" t="s">
        <v>241</v>
      </c>
      <c r="F32" s="17" t="s">
        <v>263</v>
      </c>
      <c r="G32" s="17"/>
      <c r="H32" s="17"/>
      <c r="I32" s="18">
        <f t="shared" si="0"/>
        <v>60000</v>
      </c>
      <c r="J32" s="18">
        <v>50000</v>
      </c>
      <c r="K32" s="18">
        <v>10000</v>
      </c>
      <c r="L32" s="19">
        <v>0.5</v>
      </c>
      <c r="M32" s="18">
        <f t="shared" si="1"/>
        <v>30000</v>
      </c>
      <c r="N32" s="3" t="s">
        <v>292</v>
      </c>
      <c r="O32" s="3" t="s">
        <v>229</v>
      </c>
      <c r="P32" s="3" t="s">
        <v>261</v>
      </c>
      <c r="Q32" s="3" t="s">
        <v>317</v>
      </c>
      <c r="R32" s="17" t="s">
        <v>318</v>
      </c>
      <c r="S32" s="22" t="s">
        <v>261</v>
      </c>
    </row>
    <row r="33" spans="1:19">
      <c r="A33" s="49" t="s">
        <v>319</v>
      </c>
      <c r="B33" s="43" t="s">
        <v>274</v>
      </c>
      <c r="C33" s="43">
        <v>25.02</v>
      </c>
      <c r="D33" s="44" t="s">
        <v>320</v>
      </c>
      <c r="E33" s="43" t="s">
        <v>242</v>
      </c>
      <c r="F33" s="43" t="s">
        <v>321</v>
      </c>
      <c r="G33" s="43"/>
      <c r="H33" s="43"/>
      <c r="I33" s="31">
        <f t="shared" si="0"/>
        <v>0</v>
      </c>
      <c r="J33" s="45">
        <v>0</v>
      </c>
      <c r="K33" s="44">
        <v>0</v>
      </c>
      <c r="L33" s="46">
        <v>0</v>
      </c>
      <c r="M33" s="31">
        <f t="shared" si="1"/>
        <v>0</v>
      </c>
      <c r="N33" s="44" t="s">
        <v>146</v>
      </c>
      <c r="O33" s="44" t="s">
        <v>161</v>
      </c>
      <c r="P33" s="44" t="s">
        <v>299</v>
      </c>
      <c r="Q33" s="44" t="s">
        <v>322</v>
      </c>
      <c r="R33" s="43" t="s">
        <v>261</v>
      </c>
      <c r="S33" s="47" t="s">
        <v>323</v>
      </c>
    </row>
    <row r="34" spans="1:19">
      <c r="A34" s="50"/>
      <c r="B34" s="12"/>
      <c r="C34" s="12"/>
      <c r="D34" s="50"/>
      <c r="E34" s="12"/>
      <c r="F34" s="12"/>
      <c r="G34" s="12"/>
      <c r="H34" s="12"/>
      <c r="I34" s="10"/>
      <c r="J34" s="51"/>
      <c r="K34" s="50"/>
      <c r="L34" s="52"/>
      <c r="M34" s="10"/>
      <c r="N34" s="50"/>
      <c r="O34" s="50"/>
      <c r="P34" s="50"/>
      <c r="Q34" s="50"/>
      <c r="R34" s="12"/>
      <c r="S34" s="50"/>
    </row>
    <row r="35" spans="1:19">
      <c r="A35" s="50"/>
      <c r="B35" s="12"/>
      <c r="C35" s="12"/>
      <c r="D35" s="50"/>
      <c r="E35" s="12"/>
      <c r="F35" s="12"/>
      <c r="G35" s="12"/>
      <c r="H35" s="12"/>
      <c r="I35" s="10"/>
      <c r="J35" s="51"/>
      <c r="K35" s="50"/>
      <c r="L35" s="52"/>
      <c r="M35" s="10"/>
      <c r="N35" s="50"/>
      <c r="O35" s="50"/>
      <c r="P35" s="50"/>
      <c r="Q35" s="50"/>
      <c r="R35" s="12"/>
      <c r="S35" s="50"/>
    </row>
    <row r="36" spans="1:19">
      <c r="A36" s="53" t="s">
        <v>324</v>
      </c>
      <c r="B36" s="54"/>
      <c r="C36" s="2"/>
      <c r="D36" s="1"/>
      <c r="E36" s="2"/>
      <c r="F36" s="2"/>
      <c r="G36" s="2"/>
      <c r="H36" s="2"/>
      <c r="I36" s="10"/>
      <c r="J36" s="10"/>
      <c r="K36" s="10"/>
      <c r="L36" s="41"/>
      <c r="M36" s="10"/>
      <c r="N36" s="1"/>
      <c r="O36" s="1"/>
      <c r="P36" s="1"/>
      <c r="Q36" s="1"/>
      <c r="R36" s="2"/>
      <c r="S36" s="1"/>
    </row>
    <row r="37" spans="1:19">
      <c r="A37" s="15" t="s">
        <v>245</v>
      </c>
      <c r="B37" s="15" t="s">
        <v>246</v>
      </c>
      <c r="C37" s="39" t="s">
        <v>247</v>
      </c>
      <c r="D37" s="39" t="s">
        <v>7</v>
      </c>
      <c r="E37" s="39" t="s">
        <v>248</v>
      </c>
      <c r="F37" s="39" t="s">
        <v>249</v>
      </c>
      <c r="G37" s="39" t="s">
        <v>250</v>
      </c>
      <c r="H37" s="39" t="s">
        <v>251</v>
      </c>
      <c r="I37" s="39" t="s">
        <v>288</v>
      </c>
      <c r="J37" s="39" t="s">
        <v>325</v>
      </c>
      <c r="K37" s="39" t="s">
        <v>290</v>
      </c>
      <c r="L37" s="39" t="s">
        <v>255</v>
      </c>
      <c r="M37" s="39" t="s">
        <v>256</v>
      </c>
      <c r="N37" s="39" t="s">
        <v>11</v>
      </c>
      <c r="O37" s="39" t="s">
        <v>12</v>
      </c>
      <c r="P37" s="39" t="s">
        <v>3</v>
      </c>
      <c r="Q37" s="39" t="s">
        <v>257</v>
      </c>
      <c r="R37" s="39" t="s">
        <v>258</v>
      </c>
      <c r="S37" s="39" t="s">
        <v>13</v>
      </c>
    </row>
    <row r="38" spans="1:19" ht="18" customHeight="1">
      <c r="A38" s="21" t="s">
        <v>326</v>
      </c>
      <c r="B38" s="17" t="s">
        <v>274</v>
      </c>
      <c r="C38" s="17" t="s">
        <v>327</v>
      </c>
      <c r="D38" s="3" t="s">
        <v>328</v>
      </c>
      <c r="E38" s="17" t="s">
        <v>241</v>
      </c>
      <c r="F38" s="17" t="s">
        <v>263</v>
      </c>
      <c r="G38" s="17" t="s">
        <v>329</v>
      </c>
      <c r="H38" s="17"/>
      <c r="I38" s="18">
        <f>J38+K38</f>
        <v>2000</v>
      </c>
      <c r="J38" s="18">
        <v>2000</v>
      </c>
      <c r="K38" s="18">
        <v>0</v>
      </c>
      <c r="L38" s="19">
        <v>1</v>
      </c>
      <c r="M38" s="18">
        <f>I38*L38</f>
        <v>2000</v>
      </c>
      <c r="N38" s="3" t="s">
        <v>261</v>
      </c>
      <c r="O38" s="3" t="s">
        <v>261</v>
      </c>
      <c r="P38" s="3" t="s">
        <v>261</v>
      </c>
      <c r="Q38" s="3" t="s">
        <v>261</v>
      </c>
      <c r="R38" s="17" t="s">
        <v>261</v>
      </c>
      <c r="S38" s="1" t="s">
        <v>261</v>
      </c>
    </row>
    <row r="39" spans="1:19" ht="18" customHeight="1">
      <c r="A39" s="21" t="s">
        <v>326</v>
      </c>
      <c r="B39" s="17" t="s">
        <v>274</v>
      </c>
      <c r="C39" s="17" t="s">
        <v>330</v>
      </c>
      <c r="D39" s="3" t="s">
        <v>331</v>
      </c>
      <c r="E39" s="17" t="s">
        <v>241</v>
      </c>
      <c r="F39" s="17" t="s">
        <v>263</v>
      </c>
      <c r="G39" s="17" t="s">
        <v>329</v>
      </c>
      <c r="H39" s="17"/>
      <c r="I39" s="18">
        <f>J39+K39</f>
        <v>10000</v>
      </c>
      <c r="J39" s="18">
        <v>10000</v>
      </c>
      <c r="K39" s="18">
        <v>0</v>
      </c>
      <c r="L39" s="19">
        <v>1</v>
      </c>
      <c r="M39" s="18">
        <f>I39*L39</f>
        <v>10000</v>
      </c>
      <c r="N39" s="3" t="s">
        <v>261</v>
      </c>
      <c r="O39" s="3" t="s">
        <v>261</v>
      </c>
      <c r="P39" s="3" t="s">
        <v>261</v>
      </c>
      <c r="Q39" s="3" t="s">
        <v>261</v>
      </c>
      <c r="R39" s="17" t="s">
        <v>261</v>
      </c>
      <c r="S39" t="s">
        <v>332</v>
      </c>
    </row>
    <row r="40" spans="1:19" ht="18" customHeight="1">
      <c r="A40" s="21" t="s">
        <v>259</v>
      </c>
      <c r="B40" s="17" t="s">
        <v>274</v>
      </c>
      <c r="C40" s="17"/>
      <c r="D40" s="3" t="s">
        <v>216</v>
      </c>
      <c r="E40" s="17" t="s">
        <v>241</v>
      </c>
      <c r="F40" s="17" t="s">
        <v>263</v>
      </c>
      <c r="G40" s="17" t="s">
        <v>329</v>
      </c>
      <c r="H40" s="17"/>
      <c r="I40" s="18">
        <v>2646</v>
      </c>
      <c r="J40" s="18">
        <v>1566</v>
      </c>
      <c r="K40" s="18">
        <v>1080</v>
      </c>
      <c r="L40" s="19"/>
      <c r="M40" s="18">
        <v>1566</v>
      </c>
      <c r="N40" s="3" t="s">
        <v>217</v>
      </c>
      <c r="O40" s="3" t="s">
        <v>333</v>
      </c>
      <c r="P40" s="3" t="s">
        <v>334</v>
      </c>
      <c r="Q40" s="3"/>
      <c r="R40" s="17"/>
      <c r="S40" s="1"/>
    </row>
    <row r="41" spans="1:19" ht="18" customHeight="1">
      <c r="A41" s="21" t="s">
        <v>259</v>
      </c>
      <c r="B41" s="17" t="s">
        <v>274</v>
      </c>
      <c r="C41" s="17" t="s">
        <v>335</v>
      </c>
      <c r="D41" s="3" t="s">
        <v>219</v>
      </c>
      <c r="E41" s="17" t="s">
        <v>241</v>
      </c>
      <c r="F41" s="17" t="s">
        <v>263</v>
      </c>
      <c r="G41" s="17" t="s">
        <v>329</v>
      </c>
      <c r="H41" s="17"/>
      <c r="I41" s="18">
        <v>12800</v>
      </c>
      <c r="J41" s="18">
        <v>10000</v>
      </c>
      <c r="K41" s="18">
        <v>2800</v>
      </c>
      <c r="L41" s="19"/>
      <c r="M41" s="18">
        <v>12800</v>
      </c>
      <c r="N41" s="48" t="s">
        <v>336</v>
      </c>
      <c r="O41" s="3" t="s">
        <v>333</v>
      </c>
      <c r="P41" s="3" t="s">
        <v>337</v>
      </c>
      <c r="Q41" s="3"/>
      <c r="R41" s="17"/>
      <c r="S41" s="1"/>
    </row>
    <row r="42" spans="1:19" ht="18" customHeight="1">
      <c r="A42" s="21" t="s">
        <v>338</v>
      </c>
      <c r="B42" s="17" t="s">
        <v>274</v>
      </c>
      <c r="C42" s="17" t="s">
        <v>339</v>
      </c>
      <c r="D42" s="3" t="s">
        <v>340</v>
      </c>
      <c r="E42" s="17" t="s">
        <v>241</v>
      </c>
      <c r="F42" s="17" t="s">
        <v>263</v>
      </c>
      <c r="G42" s="17" t="s">
        <v>329</v>
      </c>
      <c r="H42" s="17"/>
      <c r="I42" s="18">
        <f>J42+K42</f>
        <v>500</v>
      </c>
      <c r="J42" s="18">
        <v>500</v>
      </c>
      <c r="K42" s="18">
        <v>0</v>
      </c>
      <c r="L42" s="19">
        <v>1</v>
      </c>
      <c r="M42" s="18">
        <f>I42*L42</f>
        <v>500</v>
      </c>
      <c r="N42" s="3" t="s">
        <v>341</v>
      </c>
      <c r="O42" s="3" t="s">
        <v>342</v>
      </c>
      <c r="P42" s="3" t="s">
        <v>261</v>
      </c>
      <c r="Q42" s="3" t="s">
        <v>261</v>
      </c>
      <c r="R42" s="17" t="s">
        <v>261</v>
      </c>
      <c r="S42" t="s">
        <v>343</v>
      </c>
    </row>
    <row r="43" spans="1:19" ht="18" customHeight="1">
      <c r="A43" s="21" t="s">
        <v>344</v>
      </c>
      <c r="B43" s="17" t="s">
        <v>274</v>
      </c>
      <c r="C43" s="17" t="s">
        <v>345</v>
      </c>
      <c r="D43" s="3" t="s">
        <v>346</v>
      </c>
      <c r="E43" s="17" t="s">
        <v>241</v>
      </c>
      <c r="F43" s="17" t="s">
        <v>263</v>
      </c>
      <c r="G43" s="17" t="s">
        <v>347</v>
      </c>
      <c r="H43" s="17" t="s">
        <v>267</v>
      </c>
      <c r="I43" s="18">
        <f>J43+K43</f>
        <v>250000</v>
      </c>
      <c r="J43" s="18">
        <v>200000</v>
      </c>
      <c r="K43" s="18">
        <v>50000</v>
      </c>
      <c r="L43" s="19">
        <v>0.2</v>
      </c>
      <c r="M43" s="18">
        <f>I43*L43</f>
        <v>50000</v>
      </c>
      <c r="N43" s="3"/>
      <c r="O43" s="3"/>
      <c r="P43" s="3"/>
      <c r="Q43" s="3"/>
      <c r="R43" s="17"/>
      <c r="S43" s="22"/>
    </row>
    <row r="44" spans="1:19" ht="18" customHeight="1">
      <c r="A44" s="21" t="s">
        <v>344</v>
      </c>
      <c r="B44" s="17" t="s">
        <v>274</v>
      </c>
      <c r="C44" s="17" t="s">
        <v>348</v>
      </c>
      <c r="D44" s="3" t="s">
        <v>349</v>
      </c>
      <c r="E44" s="17" t="s">
        <v>241</v>
      </c>
      <c r="F44" s="17" t="s">
        <v>263</v>
      </c>
      <c r="G44" s="17" t="s">
        <v>350</v>
      </c>
      <c r="H44" s="17"/>
      <c r="I44" s="18"/>
      <c r="J44" s="18"/>
      <c r="K44" s="18"/>
      <c r="L44" s="19"/>
      <c r="M44" s="18"/>
      <c r="N44" s="3"/>
      <c r="O44" s="3"/>
      <c r="P44" s="3"/>
      <c r="Q44" s="3"/>
      <c r="R44" s="17"/>
      <c r="S44" s="22"/>
    </row>
    <row r="45" spans="1:19" ht="18" customHeight="1">
      <c r="A45" s="21" t="s">
        <v>344</v>
      </c>
      <c r="B45" s="17" t="s">
        <v>274</v>
      </c>
      <c r="C45" s="17" t="s">
        <v>351</v>
      </c>
      <c r="D45" s="3" t="s">
        <v>352</v>
      </c>
      <c r="E45" s="17" t="s">
        <v>241</v>
      </c>
      <c r="F45" s="17" t="s">
        <v>263</v>
      </c>
      <c r="G45" s="17" t="s">
        <v>350</v>
      </c>
      <c r="H45" s="17"/>
      <c r="I45" s="18"/>
      <c r="J45" s="18"/>
      <c r="K45" s="18"/>
      <c r="L45" s="19"/>
      <c r="M45" s="18"/>
      <c r="N45" s="3" t="s">
        <v>353</v>
      </c>
      <c r="O45" s="3" t="s">
        <v>354</v>
      </c>
      <c r="P45" s="3"/>
      <c r="Q45" s="3"/>
      <c r="R45" s="17"/>
      <c r="S45" s="22"/>
    </row>
    <row r="46" spans="1:19" ht="18" customHeight="1">
      <c r="A46" s="21" t="s">
        <v>282</v>
      </c>
      <c r="B46" s="23" t="s">
        <v>274</v>
      </c>
      <c r="C46" s="23" t="s">
        <v>355</v>
      </c>
      <c r="D46" s="24" t="s">
        <v>356</v>
      </c>
      <c r="E46" s="23" t="s">
        <v>241</v>
      </c>
      <c r="F46" s="17" t="s">
        <v>263</v>
      </c>
      <c r="G46" s="23" t="s">
        <v>357</v>
      </c>
      <c r="H46" s="23"/>
      <c r="I46" s="18">
        <f>J46+K46</f>
        <v>350000</v>
      </c>
      <c r="J46" s="18">
        <v>200000</v>
      </c>
      <c r="K46" s="18">
        <v>150000</v>
      </c>
      <c r="L46" s="19">
        <v>0.3</v>
      </c>
      <c r="M46" s="18">
        <f>I46*L46</f>
        <v>105000</v>
      </c>
      <c r="N46" s="3" t="s">
        <v>358</v>
      </c>
      <c r="O46" s="3" t="s">
        <v>359</v>
      </c>
      <c r="P46" s="3" t="s">
        <v>360</v>
      </c>
      <c r="Q46" s="3" t="s">
        <v>361</v>
      </c>
      <c r="R46" s="17" t="s">
        <v>362</v>
      </c>
      <c r="S46" s="22" t="s">
        <v>261</v>
      </c>
    </row>
    <row r="47" spans="1:19" ht="18" customHeight="1">
      <c r="A47" s="21" t="s">
        <v>282</v>
      </c>
      <c r="B47" s="17" t="s">
        <v>274</v>
      </c>
      <c r="C47" s="17" t="s">
        <v>363</v>
      </c>
      <c r="D47" s="3" t="s">
        <v>364</v>
      </c>
      <c r="E47" s="17" t="s">
        <v>241</v>
      </c>
      <c r="F47" s="17" t="s">
        <v>263</v>
      </c>
      <c r="G47" s="17" t="s">
        <v>365</v>
      </c>
      <c r="H47" s="17"/>
      <c r="I47" s="18"/>
      <c r="J47" s="18"/>
      <c r="K47" s="18"/>
      <c r="L47" s="19"/>
      <c r="M47" s="18"/>
      <c r="N47" s="3"/>
      <c r="O47" s="3"/>
      <c r="P47" s="3"/>
      <c r="Q47" s="3"/>
      <c r="R47" s="17"/>
      <c r="S47" s="22"/>
    </row>
    <row r="48" spans="1:19" ht="18" customHeight="1">
      <c r="A48" s="21" t="s">
        <v>282</v>
      </c>
      <c r="B48" s="17" t="s">
        <v>274</v>
      </c>
      <c r="C48" s="17" t="s">
        <v>261</v>
      </c>
      <c r="D48" s="3" t="s">
        <v>366</v>
      </c>
      <c r="E48" s="17" t="s">
        <v>241</v>
      </c>
      <c r="F48" s="17" t="s">
        <v>263</v>
      </c>
      <c r="G48" s="17"/>
      <c r="H48" s="17"/>
      <c r="I48" s="18">
        <f>J48+K48</f>
        <v>608000</v>
      </c>
      <c r="J48" s="18">
        <v>458000</v>
      </c>
      <c r="K48" s="18">
        <v>150000</v>
      </c>
      <c r="L48" s="19">
        <v>0.2</v>
      </c>
      <c r="M48" s="18">
        <f>I48*L48</f>
        <v>121600</v>
      </c>
      <c r="N48" s="3" t="s">
        <v>67</v>
      </c>
      <c r="O48" s="3" t="s">
        <v>77</v>
      </c>
      <c r="P48" s="3" t="s">
        <v>261</v>
      </c>
      <c r="Q48" s="3" t="s">
        <v>261</v>
      </c>
      <c r="R48" s="17" t="s">
        <v>261</v>
      </c>
      <c r="S48" s="33" t="s">
        <v>261</v>
      </c>
    </row>
    <row r="49" spans="1:20" ht="18" customHeight="1">
      <c r="A49" s="21" t="s">
        <v>282</v>
      </c>
      <c r="B49" s="17" t="s">
        <v>274</v>
      </c>
      <c r="C49" s="17" t="s">
        <v>367</v>
      </c>
      <c r="D49" s="3" t="s">
        <v>368</v>
      </c>
      <c r="E49" s="17" t="s">
        <v>241</v>
      </c>
      <c r="F49" s="17" t="s">
        <v>263</v>
      </c>
      <c r="G49" s="29"/>
      <c r="H49" s="29"/>
      <c r="I49" s="31">
        <f>J49+K49</f>
        <v>12500</v>
      </c>
      <c r="J49" s="31">
        <v>10000</v>
      </c>
      <c r="K49" s="31">
        <v>2500</v>
      </c>
      <c r="L49" s="32">
        <v>0.2</v>
      </c>
      <c r="M49" s="31">
        <f>I49*L49</f>
        <v>2500</v>
      </c>
      <c r="N49" s="30" t="s">
        <v>181</v>
      </c>
      <c r="O49" s="30" t="s">
        <v>369</v>
      </c>
      <c r="P49" s="30" t="s">
        <v>370</v>
      </c>
      <c r="Q49" s="30" t="s">
        <v>261</v>
      </c>
      <c r="R49" s="55" t="s">
        <v>261</v>
      </c>
      <c r="S49" s="3" t="s">
        <v>261</v>
      </c>
    </row>
    <row r="50" spans="1:20" ht="18" customHeight="1">
      <c r="A50" s="21" t="s">
        <v>295</v>
      </c>
      <c r="B50" s="17" t="s">
        <v>274</v>
      </c>
      <c r="C50" s="17"/>
      <c r="D50" s="3" t="s">
        <v>371</v>
      </c>
      <c r="E50" s="17" t="s">
        <v>241</v>
      </c>
      <c r="F50" s="17" t="s">
        <v>263</v>
      </c>
      <c r="G50" s="17" t="s">
        <v>372</v>
      </c>
      <c r="H50" s="17"/>
      <c r="I50" s="31">
        <f>J50+K50</f>
        <v>250000</v>
      </c>
      <c r="J50" s="18">
        <v>200000</v>
      </c>
      <c r="K50" s="18">
        <v>50000</v>
      </c>
      <c r="L50" s="19">
        <v>0.3</v>
      </c>
      <c r="M50" s="31">
        <f>I50*L50</f>
        <v>75000</v>
      </c>
      <c r="N50" s="3" t="s">
        <v>67</v>
      </c>
      <c r="O50" s="3" t="s">
        <v>77</v>
      </c>
      <c r="P50" s="3"/>
      <c r="Q50" s="3"/>
      <c r="R50" s="56"/>
      <c r="S50" s="3"/>
    </row>
    <row r="51" spans="1:20" ht="18" customHeight="1">
      <c r="A51" s="21" t="s">
        <v>295</v>
      </c>
      <c r="B51" s="17" t="s">
        <v>274</v>
      </c>
      <c r="C51" s="17"/>
      <c r="D51" s="3" t="s">
        <v>373</v>
      </c>
      <c r="E51" s="17" t="s">
        <v>241</v>
      </c>
      <c r="F51" s="17" t="s">
        <v>263</v>
      </c>
      <c r="G51" s="17" t="s">
        <v>374</v>
      </c>
      <c r="H51" s="17"/>
      <c r="I51" s="31">
        <f>J51+K51</f>
        <v>250000</v>
      </c>
      <c r="J51" s="18">
        <v>200000</v>
      </c>
      <c r="K51" s="18">
        <v>50000</v>
      </c>
      <c r="L51" s="19">
        <v>0.1</v>
      </c>
      <c r="M51" s="31">
        <f>I51*L51</f>
        <v>25000</v>
      </c>
      <c r="N51" s="3" t="s">
        <v>67</v>
      </c>
      <c r="O51" s="3" t="s">
        <v>77</v>
      </c>
      <c r="P51" s="3"/>
      <c r="Q51" s="3"/>
      <c r="R51" s="56"/>
      <c r="S51" s="3"/>
    </row>
    <row r="52" spans="1:20" ht="18" customHeight="1">
      <c r="A52" s="28" t="s">
        <v>319</v>
      </c>
      <c r="B52" s="29" t="s">
        <v>274</v>
      </c>
      <c r="C52" s="29" t="s">
        <v>375</v>
      </c>
      <c r="D52" s="30" t="s">
        <v>376</v>
      </c>
      <c r="E52" s="29" t="s">
        <v>241</v>
      </c>
      <c r="F52" s="29" t="s">
        <v>263</v>
      </c>
      <c r="G52" s="29"/>
      <c r="H52" s="29"/>
      <c r="I52" s="31"/>
      <c r="J52" s="31"/>
      <c r="K52" s="31"/>
      <c r="L52" s="32"/>
      <c r="M52" s="31"/>
      <c r="N52" s="30" t="s">
        <v>181</v>
      </c>
      <c r="O52" s="30" t="s">
        <v>377</v>
      </c>
      <c r="P52" s="30"/>
      <c r="Q52" s="30"/>
      <c r="R52" s="29"/>
      <c r="S52" s="57"/>
    </row>
    <row r="53" spans="1:20" ht="18" customHeight="1">
      <c r="A53" s="28" t="s">
        <v>282</v>
      </c>
      <c r="B53" s="29" t="s">
        <v>274</v>
      </c>
      <c r="C53" s="29" t="s">
        <v>378</v>
      </c>
      <c r="D53" s="30" t="s">
        <v>379</v>
      </c>
      <c r="E53" s="29" t="s">
        <v>241</v>
      </c>
      <c r="F53" s="29" t="s">
        <v>263</v>
      </c>
      <c r="G53" s="29" t="s">
        <v>350</v>
      </c>
      <c r="H53" s="29"/>
      <c r="I53" s="31">
        <f>J53+K53</f>
        <v>115000</v>
      </c>
      <c r="J53" s="31">
        <v>80000</v>
      </c>
      <c r="K53" s="31">
        <v>35000</v>
      </c>
      <c r="L53" s="32">
        <v>0</v>
      </c>
      <c r="M53" s="31"/>
      <c r="N53" s="30" t="s">
        <v>33</v>
      </c>
      <c r="O53" s="30" t="s">
        <v>380</v>
      </c>
      <c r="P53" s="30"/>
      <c r="Q53" s="30"/>
      <c r="R53" s="29"/>
      <c r="S53" t="s">
        <v>381</v>
      </c>
      <c r="T53" s="37"/>
    </row>
    <row r="54" spans="1:20" ht="18" customHeight="1">
      <c r="A54" s="1"/>
      <c r="B54" s="2"/>
      <c r="C54" s="2"/>
      <c r="D54" s="1"/>
      <c r="E54" s="2"/>
      <c r="F54" s="2"/>
      <c r="G54" s="2"/>
      <c r="H54" s="2"/>
      <c r="I54" s="10"/>
      <c r="J54" s="31"/>
      <c r="K54" s="10"/>
      <c r="L54" s="41"/>
      <c r="M54" s="10"/>
      <c r="N54" s="1"/>
      <c r="O54" s="1"/>
      <c r="P54" s="1"/>
      <c r="Q54" s="1"/>
      <c r="R54" s="2"/>
      <c r="T54" s="1"/>
    </row>
    <row r="55" spans="1:20">
      <c r="A55" s="1"/>
      <c r="B55" s="2"/>
      <c r="C55" s="2"/>
      <c r="D55" s="1"/>
      <c r="E55" s="2"/>
      <c r="F55" s="2"/>
      <c r="G55" s="2"/>
      <c r="H55" s="2"/>
      <c r="I55" s="10"/>
      <c r="J55" s="31"/>
      <c r="K55" s="10"/>
      <c r="L55" s="41"/>
      <c r="M55" s="10"/>
      <c r="N55" s="1"/>
      <c r="O55" s="1"/>
      <c r="P55" s="1"/>
      <c r="Q55" s="1"/>
      <c r="R55" s="2"/>
      <c r="S55" s="1"/>
      <c r="T55" s="1"/>
    </row>
    <row r="56" spans="1:20">
      <c r="A56" s="1"/>
      <c r="B56" s="2"/>
      <c r="C56" s="2"/>
      <c r="D56" s="1"/>
      <c r="E56" s="2"/>
      <c r="F56" s="2"/>
      <c r="G56" s="2"/>
      <c r="H56" s="2"/>
      <c r="I56" s="10"/>
      <c r="J56" s="10"/>
      <c r="K56" s="10"/>
      <c r="L56" s="41"/>
      <c r="M56" s="10"/>
      <c r="N56" s="1"/>
      <c r="O56" s="1"/>
      <c r="P56" s="1"/>
      <c r="Q56" s="1"/>
      <c r="R56" s="2"/>
      <c r="S56" s="1"/>
      <c r="T56" s="1"/>
    </row>
    <row r="57" spans="1:20">
      <c r="A57" t="s">
        <v>382</v>
      </c>
      <c r="B57"/>
      <c r="C57"/>
      <c r="E57"/>
      <c r="F57"/>
      <c r="G57"/>
      <c r="H57"/>
      <c r="N57"/>
    </row>
    <row r="58" spans="1:20" ht="27">
      <c r="A58" s="15" t="s">
        <v>245</v>
      </c>
      <c r="B58" s="15" t="s">
        <v>246</v>
      </c>
      <c r="C58" s="15" t="s">
        <v>247</v>
      </c>
      <c r="D58" s="15" t="s">
        <v>7</v>
      </c>
      <c r="E58" s="15" t="s">
        <v>248</v>
      </c>
      <c r="F58" s="15" t="s">
        <v>249</v>
      </c>
      <c r="G58" s="15" t="s">
        <v>250</v>
      </c>
      <c r="H58" s="15" t="s">
        <v>251</v>
      </c>
      <c r="I58" s="15" t="s">
        <v>252</v>
      </c>
      <c r="J58" s="15" t="s">
        <v>253</v>
      </c>
      <c r="K58" s="15" t="s">
        <v>254</v>
      </c>
      <c r="L58" s="15" t="s">
        <v>255</v>
      </c>
      <c r="M58" s="15" t="s">
        <v>256</v>
      </c>
      <c r="N58" s="15" t="s">
        <v>11</v>
      </c>
      <c r="O58" s="15" t="s">
        <v>12</v>
      </c>
      <c r="P58" s="15" t="s">
        <v>3</v>
      </c>
      <c r="Q58" s="15" t="s">
        <v>257</v>
      </c>
      <c r="R58" s="15" t="s">
        <v>258</v>
      </c>
      <c r="S58" s="15" t="s">
        <v>13</v>
      </c>
    </row>
    <row r="59" spans="1:20">
      <c r="A59" s="21" t="s">
        <v>282</v>
      </c>
      <c r="B59" s="17" t="s">
        <v>274</v>
      </c>
      <c r="C59" s="17" t="s">
        <v>383</v>
      </c>
      <c r="D59" s="3" t="s">
        <v>384</v>
      </c>
      <c r="E59" s="35" t="s">
        <v>39</v>
      </c>
      <c r="F59" s="35" t="s">
        <v>263</v>
      </c>
      <c r="G59" s="17"/>
      <c r="H59" s="17"/>
      <c r="I59" s="18"/>
      <c r="J59" s="18"/>
      <c r="K59" s="18"/>
      <c r="L59" s="19"/>
      <c r="M59" s="18"/>
      <c r="N59" s="3"/>
      <c r="O59" s="3"/>
      <c r="P59" s="3"/>
      <c r="Q59" s="3"/>
      <c r="R59" s="17"/>
      <c r="S59" s="3"/>
    </row>
    <row r="60" spans="1:20">
      <c r="A60" s="21" t="s">
        <v>326</v>
      </c>
      <c r="B60" s="17" t="s">
        <v>274</v>
      </c>
      <c r="C60" s="17">
        <v>25</v>
      </c>
      <c r="D60" s="3" t="s">
        <v>385</v>
      </c>
      <c r="E60" s="17" t="s">
        <v>39</v>
      </c>
      <c r="F60" s="17" t="s">
        <v>263</v>
      </c>
      <c r="G60" s="17" t="s">
        <v>386</v>
      </c>
      <c r="H60" s="17"/>
      <c r="I60" s="18"/>
      <c r="J60" s="18"/>
      <c r="K60" s="18"/>
      <c r="L60" s="19"/>
      <c r="M60" s="18"/>
      <c r="N60" s="3" t="s">
        <v>387</v>
      </c>
      <c r="O60" s="3"/>
      <c r="P60" s="3"/>
      <c r="Q60" s="3"/>
      <c r="R60" s="17"/>
      <c r="S60" s="30"/>
    </row>
    <row r="61" spans="1:20">
      <c r="A61" s="21" t="s">
        <v>388</v>
      </c>
      <c r="B61" s="35" t="s">
        <v>274</v>
      </c>
      <c r="C61" s="35" t="s">
        <v>389</v>
      </c>
      <c r="D61" s="34" t="s">
        <v>390</v>
      </c>
      <c r="E61" s="35" t="s">
        <v>39</v>
      </c>
      <c r="F61" s="35" t="s">
        <v>263</v>
      </c>
      <c r="G61" s="29" t="s">
        <v>386</v>
      </c>
      <c r="H61" s="29"/>
      <c r="I61" s="18">
        <f>J61+K61</f>
        <v>0</v>
      </c>
      <c r="J61" s="18">
        <v>0</v>
      </c>
      <c r="K61" s="18">
        <v>0</v>
      </c>
      <c r="L61" s="36">
        <v>0</v>
      </c>
      <c r="M61" s="18">
        <f>I61*L61</f>
        <v>0</v>
      </c>
      <c r="N61" s="34" t="s">
        <v>67</v>
      </c>
      <c r="O61" s="34" t="s">
        <v>225</v>
      </c>
      <c r="P61" s="34" t="s">
        <v>261</v>
      </c>
      <c r="Q61" s="34" t="s">
        <v>261</v>
      </c>
      <c r="R61" s="35" t="s">
        <v>261</v>
      </c>
      <c r="S61" t="s">
        <v>391</v>
      </c>
    </row>
    <row r="62" spans="1:20">
      <c r="A62" s="21" t="s">
        <v>282</v>
      </c>
      <c r="B62" s="35" t="s">
        <v>274</v>
      </c>
      <c r="C62" s="35" t="s">
        <v>392</v>
      </c>
      <c r="D62" s="34" t="s">
        <v>393</v>
      </c>
      <c r="E62" s="35" t="s">
        <v>39</v>
      </c>
      <c r="F62" s="35" t="s">
        <v>263</v>
      </c>
      <c r="G62" s="29"/>
      <c r="H62" s="29"/>
      <c r="I62" s="18">
        <f>J62+K62</f>
        <v>0</v>
      </c>
      <c r="J62" s="18">
        <v>0</v>
      </c>
      <c r="K62" s="18">
        <v>0</v>
      </c>
      <c r="L62" s="36">
        <v>0</v>
      </c>
      <c r="M62" s="18">
        <f>I62*L62</f>
        <v>0</v>
      </c>
      <c r="N62" s="34" t="s">
        <v>394</v>
      </c>
      <c r="O62" s="34" t="s">
        <v>261</v>
      </c>
      <c r="P62" s="34" t="s">
        <v>261</v>
      </c>
      <c r="Q62" s="34" t="s">
        <v>261</v>
      </c>
      <c r="R62" s="35" t="s">
        <v>261</v>
      </c>
      <c r="S62" t="s">
        <v>395</v>
      </c>
    </row>
    <row r="63" spans="1:20">
      <c r="A63" s="21" t="s">
        <v>396</v>
      </c>
      <c r="B63" s="17" t="s">
        <v>274</v>
      </c>
      <c r="C63" s="17" t="s">
        <v>351</v>
      </c>
      <c r="D63" s="3" t="s">
        <v>397</v>
      </c>
      <c r="E63" s="35" t="s">
        <v>39</v>
      </c>
      <c r="F63" s="17" t="s">
        <v>263</v>
      </c>
      <c r="G63" s="17"/>
      <c r="H63" s="17"/>
      <c r="I63" s="18"/>
      <c r="J63" s="18"/>
      <c r="K63" s="18"/>
      <c r="L63" s="19"/>
      <c r="M63" s="18"/>
      <c r="N63" s="3" t="s">
        <v>277</v>
      </c>
      <c r="O63" s="3" t="s">
        <v>278</v>
      </c>
      <c r="P63" s="3"/>
      <c r="Q63" s="3"/>
      <c r="R63" s="17"/>
      <c r="S63" s="22"/>
    </row>
    <row r="64" spans="1:20">
      <c r="A64" s="21" t="s">
        <v>295</v>
      </c>
      <c r="B64" s="17" t="s">
        <v>274</v>
      </c>
      <c r="C64" s="17" t="s">
        <v>398</v>
      </c>
      <c r="D64" s="3" t="s">
        <v>399</v>
      </c>
      <c r="E64" s="35" t="s">
        <v>39</v>
      </c>
      <c r="F64" s="17" t="s">
        <v>263</v>
      </c>
      <c r="G64" s="17"/>
      <c r="H64" s="17"/>
      <c r="I64" s="18"/>
      <c r="J64" s="18"/>
      <c r="K64" s="18"/>
      <c r="L64" s="19"/>
      <c r="M64" s="18"/>
      <c r="N64" s="3"/>
      <c r="O64" s="3" t="s">
        <v>105</v>
      </c>
      <c r="P64" s="3"/>
      <c r="Q64" s="3"/>
      <c r="R64" s="17"/>
      <c r="S64" s="22"/>
    </row>
    <row r="65" spans="1:19">
      <c r="A65" s="21" t="s">
        <v>400</v>
      </c>
      <c r="B65" s="17" t="s">
        <v>274</v>
      </c>
      <c r="C65" s="17" t="s">
        <v>339</v>
      </c>
      <c r="D65" s="3" t="s">
        <v>401</v>
      </c>
      <c r="E65" s="35" t="s">
        <v>39</v>
      </c>
      <c r="F65" s="17" t="s">
        <v>263</v>
      </c>
      <c r="G65" s="17"/>
      <c r="H65" s="17"/>
      <c r="I65" s="18">
        <f>J65+K65</f>
        <v>0</v>
      </c>
      <c r="J65" s="18">
        <v>0</v>
      </c>
      <c r="K65" s="18">
        <v>0</v>
      </c>
      <c r="L65" s="19">
        <v>0</v>
      </c>
      <c r="M65" s="18">
        <f>I65*L65</f>
        <v>0</v>
      </c>
      <c r="N65" s="3" t="s">
        <v>402</v>
      </c>
      <c r="O65" s="3"/>
      <c r="P65" s="3" t="s">
        <v>261</v>
      </c>
      <c r="Q65" s="3" t="s">
        <v>261</v>
      </c>
      <c r="R65" s="17" t="s">
        <v>261</v>
      </c>
      <c r="S65" t="s">
        <v>403</v>
      </c>
    </row>
    <row r="66" spans="1:19">
      <c r="A66" s="21" t="s">
        <v>282</v>
      </c>
      <c r="B66" s="29" t="s">
        <v>274</v>
      </c>
      <c r="C66" s="29" t="s">
        <v>363</v>
      </c>
      <c r="D66" s="30" t="s">
        <v>404</v>
      </c>
      <c r="E66" s="29" t="s">
        <v>39</v>
      </c>
      <c r="F66" s="17" t="s">
        <v>263</v>
      </c>
      <c r="G66" s="29" t="s">
        <v>365</v>
      </c>
      <c r="H66" s="29"/>
      <c r="I66" s="31"/>
      <c r="J66" s="31"/>
      <c r="K66" s="31"/>
      <c r="L66" s="32"/>
      <c r="M66" s="31"/>
      <c r="N66" s="30"/>
      <c r="O66" s="30"/>
      <c r="P66" s="30"/>
      <c r="Q66" s="30"/>
      <c r="R66" s="29"/>
      <c r="S66" t="s">
        <v>405</v>
      </c>
    </row>
    <row r="67" spans="1:19">
      <c r="A67" s="28" t="s">
        <v>396</v>
      </c>
      <c r="B67" s="29" t="s">
        <v>260</v>
      </c>
      <c r="C67" s="29"/>
      <c r="D67" s="30" t="s">
        <v>406</v>
      </c>
      <c r="E67" s="29" t="s">
        <v>39</v>
      </c>
      <c r="F67" s="29" t="s">
        <v>263</v>
      </c>
      <c r="G67" s="29" t="s">
        <v>267</v>
      </c>
      <c r="H67" s="29" t="s">
        <v>329</v>
      </c>
      <c r="I67" s="31"/>
      <c r="J67" s="31"/>
      <c r="K67" s="31"/>
      <c r="L67" s="32"/>
      <c r="M67" s="31"/>
      <c r="N67" s="30"/>
      <c r="O67" s="30"/>
      <c r="P67" s="30"/>
      <c r="Q67" s="30"/>
      <c r="R67" s="29"/>
      <c r="S67" t="s">
        <v>405</v>
      </c>
    </row>
    <row r="68" spans="1:19">
      <c r="A68" s="1"/>
      <c r="B68" s="2"/>
      <c r="C68" s="2"/>
      <c r="D68" s="1"/>
      <c r="E68" s="2"/>
      <c r="F68" s="2"/>
      <c r="G68" s="2"/>
      <c r="H68" s="2"/>
      <c r="I68" s="10"/>
      <c r="J68" s="10"/>
      <c r="K68" s="10"/>
      <c r="L68" s="41"/>
      <c r="M68" s="10"/>
      <c r="N68" s="1"/>
      <c r="O68" s="1"/>
      <c r="P68" s="1"/>
      <c r="Q68" s="1"/>
      <c r="R68" s="2"/>
      <c r="S68" s="1"/>
    </row>
    <row r="69" spans="1:19">
      <c r="A69" s="1"/>
      <c r="B69" s="2"/>
      <c r="C69" s="2"/>
      <c r="D69" s="1"/>
      <c r="E69" s="2"/>
      <c r="F69" s="2"/>
      <c r="G69" s="2"/>
      <c r="H69" s="2"/>
      <c r="I69" s="10"/>
      <c r="J69" s="10"/>
      <c r="K69" s="10"/>
      <c r="L69" s="41"/>
      <c r="M69" s="10"/>
      <c r="N69" s="1"/>
      <c r="O69" s="1"/>
      <c r="P69" s="1"/>
      <c r="Q69" s="1"/>
      <c r="R69" s="2"/>
      <c r="S69" s="1"/>
    </row>
    <row r="70" spans="1:19">
      <c r="A70" s="1" t="s">
        <v>407</v>
      </c>
      <c r="B70" s="2"/>
      <c r="C70" s="2"/>
      <c r="D70" s="1"/>
      <c r="E70" s="2"/>
      <c r="F70" s="2"/>
      <c r="G70" s="2"/>
      <c r="H70" s="2"/>
      <c r="I70" s="10"/>
      <c r="J70" s="10"/>
      <c r="K70" s="10"/>
      <c r="L70" s="41"/>
      <c r="M70" s="10"/>
      <c r="N70" s="1"/>
      <c r="O70" s="1"/>
      <c r="P70" s="1"/>
      <c r="Q70" s="1"/>
      <c r="R70" s="2"/>
      <c r="S70" s="1"/>
    </row>
    <row r="71" spans="1:19" ht="27">
      <c r="A71" s="39" t="s">
        <v>245</v>
      </c>
      <c r="B71" s="39" t="s">
        <v>246</v>
      </c>
      <c r="C71" s="39" t="s">
        <v>247</v>
      </c>
      <c r="D71" s="39" t="s">
        <v>7</v>
      </c>
      <c r="E71" s="39" t="s">
        <v>248</v>
      </c>
      <c r="F71" s="39" t="s">
        <v>249</v>
      </c>
      <c r="G71" s="39" t="s">
        <v>250</v>
      </c>
      <c r="H71" s="39" t="s">
        <v>251</v>
      </c>
      <c r="I71" s="39" t="s">
        <v>252</v>
      </c>
      <c r="J71" s="39" t="s">
        <v>253</v>
      </c>
      <c r="K71" s="39" t="s">
        <v>254</v>
      </c>
      <c r="L71" s="39" t="s">
        <v>255</v>
      </c>
      <c r="M71" s="39" t="s">
        <v>256</v>
      </c>
      <c r="N71" s="39" t="s">
        <v>11</v>
      </c>
      <c r="O71" s="39" t="s">
        <v>12</v>
      </c>
      <c r="P71" s="39" t="s">
        <v>3</v>
      </c>
      <c r="Q71" s="39" t="s">
        <v>257</v>
      </c>
      <c r="R71" s="39" t="s">
        <v>258</v>
      </c>
      <c r="S71" s="39" t="s">
        <v>13</v>
      </c>
    </row>
    <row r="72" spans="1:19">
      <c r="A72" s="30" t="s">
        <v>326</v>
      </c>
      <c r="B72" s="29" t="s">
        <v>274</v>
      </c>
      <c r="C72" s="29">
        <v>24.12</v>
      </c>
      <c r="D72" s="30" t="s">
        <v>408</v>
      </c>
      <c r="E72" s="29" t="s">
        <v>15</v>
      </c>
      <c r="F72" s="29" t="s">
        <v>263</v>
      </c>
      <c r="G72" s="29" t="s">
        <v>267</v>
      </c>
      <c r="H72" s="29"/>
      <c r="I72" s="18"/>
      <c r="J72" s="18"/>
      <c r="K72" s="18"/>
      <c r="L72" s="32"/>
      <c r="M72" s="18"/>
      <c r="N72" s="30"/>
      <c r="O72" s="30"/>
      <c r="P72" s="30"/>
      <c r="Q72" s="30"/>
      <c r="R72" s="29"/>
    </row>
    <row r="73" spans="1:19">
      <c r="A73" s="3" t="s">
        <v>326</v>
      </c>
      <c r="B73" s="17" t="s">
        <v>274</v>
      </c>
      <c r="C73" s="17">
        <v>24.11</v>
      </c>
      <c r="D73" s="3" t="s">
        <v>409</v>
      </c>
      <c r="E73" s="17" t="s">
        <v>26</v>
      </c>
      <c r="F73" s="17" t="s">
        <v>263</v>
      </c>
      <c r="G73" s="17" t="s">
        <v>267</v>
      </c>
      <c r="H73" s="17"/>
      <c r="I73" s="18"/>
      <c r="J73" s="3"/>
      <c r="K73" s="18"/>
      <c r="L73" s="19"/>
      <c r="M73" s="18"/>
      <c r="N73" s="3" t="s">
        <v>33</v>
      </c>
      <c r="O73" s="3" t="s">
        <v>21</v>
      </c>
      <c r="P73" s="3" t="s">
        <v>261</v>
      </c>
      <c r="Q73" s="3" t="s">
        <v>261</v>
      </c>
      <c r="R73" s="17" t="s">
        <v>410</v>
      </c>
      <c r="S73" s="30" t="s">
        <v>261</v>
      </c>
    </row>
    <row r="74" spans="1:19">
      <c r="A74" s="34" t="s">
        <v>326</v>
      </c>
      <c r="B74" s="35" t="s">
        <v>274</v>
      </c>
      <c r="C74" s="35">
        <v>24.12</v>
      </c>
      <c r="D74" s="34" t="s">
        <v>411</v>
      </c>
      <c r="E74" s="35" t="s">
        <v>26</v>
      </c>
      <c r="F74" s="35"/>
      <c r="G74" s="29"/>
      <c r="H74" s="29"/>
      <c r="I74" s="18"/>
      <c r="J74" s="18"/>
      <c r="K74" s="18"/>
      <c r="L74" s="36"/>
      <c r="M74" s="18"/>
      <c r="N74" s="34"/>
      <c r="O74" s="34"/>
      <c r="P74" s="34"/>
      <c r="Q74" s="34"/>
      <c r="R74" s="42"/>
    </row>
    <row r="75" spans="1:19">
      <c r="A75" s="21"/>
      <c r="B75" s="17"/>
      <c r="C75" s="17"/>
      <c r="D75" s="3"/>
      <c r="E75" s="17"/>
      <c r="F75" s="17"/>
      <c r="G75" s="17"/>
      <c r="H75" s="17"/>
      <c r="I75" s="18"/>
      <c r="J75" s="18"/>
      <c r="K75" s="18"/>
      <c r="L75" s="19"/>
      <c r="M75" s="18"/>
      <c r="N75" s="3"/>
      <c r="O75" s="3"/>
      <c r="P75" s="3"/>
      <c r="Q75" s="3"/>
      <c r="R75" s="17"/>
    </row>
    <row r="76" spans="1:19">
      <c r="B76"/>
      <c r="C76"/>
      <c r="E76"/>
      <c r="F76"/>
      <c r="G76"/>
      <c r="H76"/>
      <c r="N76"/>
    </row>
    <row r="77" spans="1:19">
      <c r="A77" t="s">
        <v>412</v>
      </c>
    </row>
    <row r="78" spans="1:19">
      <c r="A78" s="38" t="s">
        <v>245</v>
      </c>
      <c r="B78" s="39" t="s">
        <v>246</v>
      </c>
      <c r="C78" s="39" t="s">
        <v>247</v>
      </c>
      <c r="D78" s="39" t="s">
        <v>7</v>
      </c>
      <c r="E78" s="39" t="s">
        <v>248</v>
      </c>
      <c r="F78" s="39" t="s">
        <v>249</v>
      </c>
      <c r="G78" s="39" t="s">
        <v>250</v>
      </c>
      <c r="H78" s="39" t="s">
        <v>251</v>
      </c>
      <c r="I78" s="39" t="s">
        <v>288</v>
      </c>
      <c r="J78" s="39" t="s">
        <v>413</v>
      </c>
      <c r="K78" s="39" t="s">
        <v>290</v>
      </c>
      <c r="L78" s="39" t="s">
        <v>414</v>
      </c>
      <c r="M78" s="39" t="s">
        <v>256</v>
      </c>
      <c r="N78" s="39" t="s">
        <v>11</v>
      </c>
      <c r="O78" s="39" t="s">
        <v>12</v>
      </c>
      <c r="P78" s="39" t="s">
        <v>3</v>
      </c>
      <c r="Q78" s="39" t="s">
        <v>257</v>
      </c>
      <c r="R78" s="39" t="s">
        <v>258</v>
      </c>
      <c r="S78" s="40" t="s">
        <v>13</v>
      </c>
    </row>
    <row r="79" spans="1:19">
      <c r="A79" s="21" t="s">
        <v>415</v>
      </c>
      <c r="B79" s="17" t="s">
        <v>416</v>
      </c>
      <c r="C79" s="17" t="s">
        <v>261</v>
      </c>
      <c r="D79" s="3" t="s">
        <v>417</v>
      </c>
      <c r="E79" s="17" t="s">
        <v>242</v>
      </c>
      <c r="F79" s="17" t="s">
        <v>263</v>
      </c>
      <c r="G79" s="17" t="s">
        <v>418</v>
      </c>
      <c r="H79" s="17"/>
      <c r="I79" s="18">
        <f t="shared" ref="I79:I84" si="2">J79+K79</f>
        <v>250000</v>
      </c>
      <c r="J79" s="18">
        <v>250000</v>
      </c>
      <c r="K79" s="3">
        <v>0</v>
      </c>
      <c r="L79" s="19">
        <v>1</v>
      </c>
      <c r="M79" s="18">
        <v>200000</v>
      </c>
      <c r="N79" s="3" t="s">
        <v>261</v>
      </c>
      <c r="O79" s="3" t="s">
        <v>261</v>
      </c>
      <c r="P79" s="3" t="s">
        <v>261</v>
      </c>
      <c r="Q79" s="3" t="s">
        <v>261</v>
      </c>
      <c r="R79" s="17" t="s">
        <v>261</v>
      </c>
      <c r="S79" s="22" t="s">
        <v>419</v>
      </c>
    </row>
    <row r="80" spans="1:19">
      <c r="A80" s="21" t="s">
        <v>415</v>
      </c>
      <c r="B80" s="17" t="s">
        <v>416</v>
      </c>
      <c r="C80" s="17"/>
      <c r="D80" s="3" t="s">
        <v>420</v>
      </c>
      <c r="E80" s="17" t="s">
        <v>242</v>
      </c>
      <c r="F80" s="17" t="s">
        <v>270</v>
      </c>
      <c r="G80" s="17" t="s">
        <v>372</v>
      </c>
      <c r="H80" s="17"/>
      <c r="I80" s="18">
        <f t="shared" si="2"/>
        <v>20000</v>
      </c>
      <c r="J80" s="18">
        <v>20000</v>
      </c>
      <c r="K80" s="3">
        <v>0</v>
      </c>
      <c r="L80" s="19">
        <v>1</v>
      </c>
      <c r="M80" s="18">
        <f>I80*L80</f>
        <v>20000</v>
      </c>
      <c r="N80" s="3"/>
      <c r="O80" s="3"/>
      <c r="P80" s="3"/>
      <c r="Q80" s="3"/>
      <c r="R80" s="17"/>
      <c r="S80" s="22" t="s">
        <v>419</v>
      </c>
    </row>
    <row r="81" spans="1:19">
      <c r="A81" s="21" t="s">
        <v>415</v>
      </c>
      <c r="B81" s="17" t="s">
        <v>416</v>
      </c>
      <c r="C81" s="17"/>
      <c r="D81" s="3" t="s">
        <v>421</v>
      </c>
      <c r="E81" s="17" t="s">
        <v>242</v>
      </c>
      <c r="F81" s="17" t="s">
        <v>263</v>
      </c>
      <c r="G81" s="17" t="s">
        <v>271</v>
      </c>
      <c r="H81" s="17"/>
      <c r="I81" s="18">
        <f t="shared" si="2"/>
        <v>1500000</v>
      </c>
      <c r="J81" s="18">
        <v>0</v>
      </c>
      <c r="K81" s="20">
        <v>1500000</v>
      </c>
      <c r="L81" s="19">
        <v>0</v>
      </c>
      <c r="M81" s="18">
        <f>I81*L81</f>
        <v>0</v>
      </c>
      <c r="N81" s="3"/>
      <c r="O81" s="3"/>
      <c r="P81" s="3"/>
      <c r="Q81" s="3"/>
      <c r="R81" s="17"/>
      <c r="S81" s="22" t="s">
        <v>419</v>
      </c>
    </row>
    <row r="82" spans="1:19">
      <c r="A82" s="21" t="s">
        <v>415</v>
      </c>
      <c r="B82" s="17" t="s">
        <v>416</v>
      </c>
      <c r="C82" s="17"/>
      <c r="D82" s="3" t="s">
        <v>422</v>
      </c>
      <c r="E82" s="17" t="s">
        <v>242</v>
      </c>
      <c r="F82" s="17" t="s">
        <v>276</v>
      </c>
      <c r="G82" s="17" t="s">
        <v>423</v>
      </c>
      <c r="H82" s="17"/>
      <c r="I82" s="18">
        <f t="shared" si="2"/>
        <v>0</v>
      </c>
      <c r="J82" s="18">
        <v>0</v>
      </c>
      <c r="K82" s="3">
        <v>0</v>
      </c>
      <c r="L82" s="19">
        <v>1</v>
      </c>
      <c r="M82" s="18">
        <f>I82*L82</f>
        <v>0</v>
      </c>
      <c r="N82" s="3"/>
      <c r="O82" s="3"/>
      <c r="P82" s="3"/>
      <c r="Q82" s="3"/>
      <c r="R82" s="17"/>
      <c r="S82" s="22" t="s">
        <v>419</v>
      </c>
    </row>
    <row r="83" spans="1:19">
      <c r="A83" s="21" t="s">
        <v>415</v>
      </c>
      <c r="B83" s="17" t="s">
        <v>416</v>
      </c>
      <c r="C83" s="17"/>
      <c r="D83" s="3" t="s">
        <v>424</v>
      </c>
      <c r="E83" s="17" t="s">
        <v>242</v>
      </c>
      <c r="F83" s="17" t="s">
        <v>276</v>
      </c>
      <c r="G83" s="17" t="s">
        <v>271</v>
      </c>
      <c r="H83" s="17"/>
      <c r="I83" s="18">
        <f t="shared" si="2"/>
        <v>10000</v>
      </c>
      <c r="J83" s="18">
        <v>10000</v>
      </c>
      <c r="K83" s="3">
        <v>0</v>
      </c>
      <c r="L83" s="19">
        <v>0.1</v>
      </c>
      <c r="M83" s="18">
        <f>I83*L83</f>
        <v>1000</v>
      </c>
      <c r="N83" s="3"/>
      <c r="O83" s="3"/>
      <c r="P83" s="3"/>
      <c r="Q83" s="3"/>
      <c r="R83" s="17"/>
      <c r="S83" s="22" t="s">
        <v>419</v>
      </c>
    </row>
    <row r="84" spans="1:19">
      <c r="A84" s="28" t="s">
        <v>415</v>
      </c>
      <c r="B84" s="29" t="s">
        <v>416</v>
      </c>
      <c r="C84" s="29"/>
      <c r="D84" s="30" t="s">
        <v>425</v>
      </c>
      <c r="E84" s="29" t="s">
        <v>242</v>
      </c>
      <c r="F84" s="29" t="s">
        <v>263</v>
      </c>
      <c r="G84" s="29" t="s">
        <v>372</v>
      </c>
      <c r="H84" s="29"/>
      <c r="I84" s="31">
        <f t="shared" si="2"/>
        <v>200000</v>
      </c>
      <c r="J84" s="31">
        <v>200000</v>
      </c>
      <c r="K84" s="30">
        <v>0</v>
      </c>
      <c r="L84" s="32">
        <v>0.5</v>
      </c>
      <c r="M84" s="31">
        <f>I84*L84</f>
        <v>100000</v>
      </c>
      <c r="N84" s="30" t="s">
        <v>261</v>
      </c>
      <c r="O84" s="30" t="s">
        <v>261</v>
      </c>
      <c r="P84" s="30" t="s">
        <v>261</v>
      </c>
      <c r="Q84" s="30" t="s">
        <v>261</v>
      </c>
      <c r="R84" s="29" t="s">
        <v>261</v>
      </c>
      <c r="S84" s="33" t="s">
        <v>426</v>
      </c>
    </row>
  </sheetData>
  <phoneticPr fontId="1" type="noConversion"/>
  <pageMargins left="0.7" right="0.7" top="0.75" bottom="0.75" header="0.3" footer="0.3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E11A-C5F1-4B15-9C0E-6FC4729AF286}">
  <dimension ref="A1:K44"/>
  <sheetViews>
    <sheetView topLeftCell="D1" workbookViewId="0">
      <selection activeCell="F7" sqref="F7"/>
    </sheetView>
  </sheetViews>
  <sheetFormatPr defaultRowHeight="16.5"/>
  <cols>
    <col min="1" max="1" width="23" style="16" customWidth="1"/>
    <col min="2" max="2" width="23" style="63" customWidth="1"/>
    <col min="3" max="3" width="23" customWidth="1"/>
    <col min="4" max="4" width="37.625" style="63" customWidth="1"/>
    <col min="5" max="5" width="49.375" style="63" customWidth="1"/>
    <col min="6" max="6" width="43.5" style="63" customWidth="1"/>
    <col min="7" max="7" width="23" style="63" customWidth="1"/>
    <col min="8" max="9" width="23" style="16" customWidth="1"/>
    <col min="10" max="10" width="23" customWidth="1"/>
  </cols>
  <sheetData>
    <row r="1" spans="1:11">
      <c r="A1" s="2" t="s">
        <v>0</v>
      </c>
      <c r="B1" s="61"/>
      <c r="C1" s="2"/>
      <c r="D1" s="61"/>
      <c r="E1" s="61"/>
      <c r="F1" s="61"/>
      <c r="G1" s="61"/>
      <c r="H1" s="2"/>
      <c r="I1" s="2"/>
      <c r="J1" s="1"/>
      <c r="K1" s="1"/>
    </row>
    <row r="2" spans="1:11">
      <c r="A2" s="2"/>
      <c r="B2" s="61"/>
      <c r="C2" s="2"/>
      <c r="D2" s="61"/>
      <c r="E2" s="61"/>
      <c r="F2" s="61"/>
      <c r="G2" s="61"/>
      <c r="H2" s="2"/>
      <c r="I2" s="2"/>
      <c r="J2" s="1"/>
      <c r="K2" s="1"/>
    </row>
    <row r="3" spans="1:11">
      <c r="A3" s="2"/>
      <c r="B3" s="61"/>
      <c r="C3" s="2"/>
      <c r="E3" s="61"/>
      <c r="F3" s="61"/>
      <c r="G3" s="61"/>
      <c r="H3" s="12"/>
      <c r="I3" s="2"/>
      <c r="J3" s="1"/>
      <c r="K3" s="1"/>
    </row>
    <row r="4" spans="1:11">
      <c r="A4" s="2"/>
      <c r="B4" s="61"/>
      <c r="C4" s="2"/>
      <c r="E4" s="61"/>
      <c r="F4" s="61"/>
      <c r="G4" s="61"/>
      <c r="H4" s="2"/>
      <c r="I4" s="2"/>
      <c r="J4" s="1"/>
      <c r="K4" s="1"/>
    </row>
    <row r="5" spans="1:11">
      <c r="A5" s="2" t="s">
        <v>15</v>
      </c>
      <c r="B5" s="61"/>
      <c r="C5" s="2"/>
      <c r="D5" s="61"/>
      <c r="E5" s="61"/>
      <c r="F5" s="61"/>
      <c r="G5" s="61"/>
      <c r="H5" s="2"/>
      <c r="I5" s="2"/>
      <c r="J5" s="1"/>
      <c r="K5" s="1"/>
    </row>
    <row r="6" spans="1:11" ht="68.25" customHeight="1">
      <c r="A6" s="38" t="s">
        <v>3</v>
      </c>
      <c r="B6" s="38" t="s">
        <v>427</v>
      </c>
      <c r="C6" s="38" t="s">
        <v>428</v>
      </c>
      <c r="D6" s="39" t="s">
        <v>7</v>
      </c>
      <c r="E6" s="39" t="s">
        <v>8</v>
      </c>
      <c r="F6" s="39" t="s">
        <v>429</v>
      </c>
      <c r="G6" s="39" t="s">
        <v>10</v>
      </c>
      <c r="H6" s="39" t="s">
        <v>11</v>
      </c>
      <c r="I6" s="39" t="s">
        <v>12</v>
      </c>
      <c r="J6" s="40" t="s">
        <v>13</v>
      </c>
      <c r="K6" s="16"/>
    </row>
    <row r="7" spans="1:11" ht="174" customHeight="1">
      <c r="A7" s="60" t="s">
        <v>430</v>
      </c>
      <c r="B7" s="64" t="s">
        <v>431</v>
      </c>
      <c r="C7" s="17" t="s">
        <v>432</v>
      </c>
      <c r="D7" s="48" t="s">
        <v>433</v>
      </c>
      <c r="E7" s="48" t="s">
        <v>19</v>
      </c>
      <c r="F7" s="48" t="s">
        <v>20</v>
      </c>
      <c r="G7" s="59" t="s">
        <v>434</v>
      </c>
      <c r="H7" s="17" t="s">
        <v>435</v>
      </c>
      <c r="I7" s="17" t="s">
        <v>150</v>
      </c>
      <c r="J7" s="22"/>
    </row>
    <row r="8" spans="1:11" ht="175.5" customHeight="1">
      <c r="A8" s="60" t="s">
        <v>436</v>
      </c>
      <c r="B8" s="64" t="s">
        <v>437</v>
      </c>
      <c r="C8" s="17" t="s">
        <v>438</v>
      </c>
      <c r="D8" s="48" t="s">
        <v>439</v>
      </c>
      <c r="E8" s="48" t="s">
        <v>440</v>
      </c>
      <c r="F8" s="48" t="s">
        <v>441</v>
      </c>
      <c r="G8" s="59" t="s">
        <v>442</v>
      </c>
      <c r="H8" s="17" t="s">
        <v>67</v>
      </c>
      <c r="I8" s="17" t="s">
        <v>443</v>
      </c>
      <c r="J8" s="22"/>
    </row>
    <row r="9" spans="1:11" ht="165.75" customHeight="1">
      <c r="A9" s="60">
        <v>2020</v>
      </c>
      <c r="B9" s="64" t="s">
        <v>444</v>
      </c>
      <c r="C9" s="17" t="s">
        <v>445</v>
      </c>
      <c r="D9" s="48" t="s">
        <v>446</v>
      </c>
      <c r="E9" s="48" t="s">
        <v>447</v>
      </c>
      <c r="F9" s="48" t="s">
        <v>448</v>
      </c>
      <c r="G9" s="59" t="s">
        <v>449</v>
      </c>
      <c r="H9" s="17" t="s">
        <v>435</v>
      </c>
      <c r="I9" s="17" t="s">
        <v>450</v>
      </c>
      <c r="J9" s="22"/>
    </row>
    <row r="10" spans="1:11" ht="127.5" customHeight="1">
      <c r="A10" s="60" t="s">
        <v>451</v>
      </c>
      <c r="B10" s="64" t="s">
        <v>452</v>
      </c>
      <c r="C10" s="17" t="s">
        <v>27</v>
      </c>
      <c r="D10" s="48" t="s">
        <v>102</v>
      </c>
      <c r="E10" s="48" t="s">
        <v>453</v>
      </c>
      <c r="F10" s="48" t="s">
        <v>454</v>
      </c>
      <c r="G10" s="59" t="s">
        <v>455</v>
      </c>
      <c r="H10" s="17" t="s">
        <v>456</v>
      </c>
      <c r="I10" s="17" t="s">
        <v>150</v>
      </c>
      <c r="J10" s="22"/>
    </row>
    <row r="11" spans="1:11" ht="121.5" customHeight="1">
      <c r="A11" s="60">
        <v>2024</v>
      </c>
      <c r="B11" s="64" t="s">
        <v>457</v>
      </c>
      <c r="C11" s="17" t="s">
        <v>458</v>
      </c>
      <c r="D11" s="48" t="s">
        <v>459</v>
      </c>
      <c r="E11" s="48" t="s">
        <v>460</v>
      </c>
      <c r="F11" s="48" t="s">
        <v>461</v>
      </c>
      <c r="G11" s="59" t="s">
        <v>462</v>
      </c>
      <c r="H11" s="17" t="s">
        <v>456</v>
      </c>
      <c r="I11" s="17" t="s">
        <v>150</v>
      </c>
      <c r="J11" s="22"/>
    </row>
    <row r="12" spans="1:11" ht="57.75" customHeight="1">
      <c r="A12" s="60" t="s">
        <v>463</v>
      </c>
      <c r="B12" s="64" t="s">
        <v>464</v>
      </c>
      <c r="C12" s="17" t="s">
        <v>465</v>
      </c>
      <c r="D12" s="48" t="s">
        <v>466</v>
      </c>
      <c r="E12" s="48" t="s">
        <v>467</v>
      </c>
      <c r="F12" s="48" t="s">
        <v>468</v>
      </c>
      <c r="G12" s="59" t="s">
        <v>469</v>
      </c>
      <c r="H12" s="17" t="s">
        <v>284</v>
      </c>
      <c r="I12" s="17" t="s">
        <v>470</v>
      </c>
      <c r="J12" s="22"/>
    </row>
    <row r="13" spans="1:11" ht="123" customHeight="1">
      <c r="A13" s="60" t="s">
        <v>451</v>
      </c>
      <c r="B13" s="64" t="s">
        <v>471</v>
      </c>
      <c r="C13" s="17" t="s">
        <v>27</v>
      </c>
      <c r="D13" s="48" t="s">
        <v>104</v>
      </c>
      <c r="E13" s="48" t="s">
        <v>472</v>
      </c>
      <c r="F13" s="48" t="s">
        <v>473</v>
      </c>
      <c r="G13" s="59" t="s">
        <v>474</v>
      </c>
      <c r="H13" s="17" t="s">
        <v>146</v>
      </c>
      <c r="I13" s="17" t="s">
        <v>150</v>
      </c>
      <c r="J13" s="22"/>
    </row>
    <row r="14" spans="1:11" ht="186" customHeight="1">
      <c r="A14" s="60">
        <v>2024</v>
      </c>
      <c r="B14" s="64" t="s">
        <v>475</v>
      </c>
      <c r="C14" s="17" t="s">
        <v>27</v>
      </c>
      <c r="D14" s="48" t="s">
        <v>476</v>
      </c>
      <c r="E14" s="48" t="s">
        <v>477</v>
      </c>
      <c r="F14" s="48" t="s">
        <v>478</v>
      </c>
      <c r="G14" s="59" t="s">
        <v>479</v>
      </c>
      <c r="H14" s="17" t="s">
        <v>435</v>
      </c>
      <c r="I14" s="17" t="s">
        <v>150</v>
      </c>
      <c r="J14" s="22"/>
    </row>
    <row r="15" spans="1:11" ht="95.25" customHeight="1">
      <c r="A15" s="60" t="s">
        <v>480</v>
      </c>
      <c r="B15" s="64" t="s">
        <v>481</v>
      </c>
      <c r="C15" s="17" t="s">
        <v>482</v>
      </c>
      <c r="D15" s="48" t="s">
        <v>269</v>
      </c>
      <c r="E15" s="48" t="s">
        <v>483</v>
      </c>
      <c r="F15" s="48" t="s">
        <v>484</v>
      </c>
      <c r="G15" s="59" t="s">
        <v>485</v>
      </c>
      <c r="H15" s="17" t="s">
        <v>486</v>
      </c>
      <c r="I15" s="17" t="s">
        <v>487</v>
      </c>
      <c r="J15" s="22"/>
    </row>
    <row r="16" spans="1:11" ht="195.75" customHeight="1">
      <c r="A16" s="60" t="s">
        <v>488</v>
      </c>
      <c r="B16" s="64" t="s">
        <v>489</v>
      </c>
      <c r="C16" s="17" t="s">
        <v>204</v>
      </c>
      <c r="D16" s="48" t="s">
        <v>490</v>
      </c>
      <c r="E16" s="48" t="s">
        <v>491</v>
      </c>
      <c r="F16" s="48" t="s">
        <v>492</v>
      </c>
      <c r="G16" s="59" t="s">
        <v>493</v>
      </c>
      <c r="H16" s="17" t="s">
        <v>146</v>
      </c>
      <c r="I16" s="17" t="s">
        <v>82</v>
      </c>
      <c r="J16" s="22"/>
    </row>
    <row r="17" spans="1:10">
      <c r="A17" s="60"/>
      <c r="B17" s="64"/>
      <c r="C17" s="17"/>
      <c r="D17" s="48"/>
      <c r="E17" s="48"/>
      <c r="F17" s="48"/>
      <c r="G17" s="59"/>
      <c r="H17" s="17"/>
      <c r="I17" s="17"/>
      <c r="J17" s="22"/>
    </row>
    <row r="18" spans="1:10">
      <c r="A18" s="60"/>
      <c r="B18" s="64"/>
      <c r="C18" s="17"/>
      <c r="D18" s="48"/>
      <c r="E18" s="48"/>
      <c r="F18" s="48"/>
      <c r="G18" s="59"/>
      <c r="H18" s="17"/>
      <c r="I18" s="17"/>
      <c r="J18" s="22"/>
    </row>
    <row r="19" spans="1:10">
      <c r="A19" s="60"/>
      <c r="B19" s="64"/>
      <c r="C19" s="17"/>
      <c r="D19" s="48"/>
      <c r="E19" s="48"/>
      <c r="F19" s="48"/>
      <c r="G19" s="59"/>
      <c r="H19" s="17"/>
      <c r="I19" s="17"/>
      <c r="J19" s="22"/>
    </row>
    <row r="20" spans="1:10">
      <c r="A20" s="67"/>
      <c r="B20" s="66"/>
      <c r="C20" s="29"/>
      <c r="D20" s="65"/>
      <c r="E20" s="65"/>
      <c r="F20" s="65"/>
      <c r="G20" s="62"/>
      <c r="H20" s="29"/>
      <c r="I20" s="29"/>
      <c r="J20" s="33"/>
    </row>
    <row r="21" spans="1:10">
      <c r="A21" s="60"/>
      <c r="B21" s="64"/>
      <c r="C21" s="17"/>
      <c r="D21" s="48"/>
      <c r="E21" s="48"/>
      <c r="F21" s="48"/>
      <c r="G21" s="59"/>
      <c r="H21" s="17"/>
      <c r="I21" s="17"/>
      <c r="J21" s="22"/>
    </row>
    <row r="22" spans="1:10">
      <c r="A22" s="60"/>
      <c r="B22" s="64"/>
      <c r="C22" s="17"/>
      <c r="D22" s="48"/>
      <c r="E22" s="48"/>
      <c r="F22" s="48"/>
      <c r="G22" s="59"/>
      <c r="H22" s="17"/>
      <c r="I22" s="17"/>
      <c r="J22" s="22"/>
    </row>
    <row r="23" spans="1:10">
      <c r="A23" s="60"/>
      <c r="B23" s="64"/>
      <c r="C23" s="17"/>
      <c r="D23" s="48"/>
      <c r="E23" s="48"/>
      <c r="F23" s="48"/>
      <c r="G23" s="59"/>
      <c r="H23" s="17"/>
      <c r="I23" s="17"/>
      <c r="J23" s="22"/>
    </row>
    <row r="24" spans="1:10">
      <c r="A24" s="60"/>
      <c r="B24" s="64"/>
      <c r="C24" s="17"/>
      <c r="D24" s="48"/>
      <c r="E24" s="48"/>
      <c r="F24" s="48"/>
      <c r="G24" s="59"/>
      <c r="H24" s="17"/>
      <c r="I24" s="17"/>
      <c r="J24" s="22"/>
    </row>
    <row r="25" spans="1:10">
      <c r="A25" s="60"/>
      <c r="B25" s="64"/>
      <c r="C25" s="17"/>
      <c r="D25" s="48"/>
      <c r="E25" s="48"/>
      <c r="F25" s="48"/>
      <c r="G25" s="59"/>
      <c r="H25" s="17"/>
      <c r="I25" s="17"/>
      <c r="J25" s="22"/>
    </row>
    <row r="26" spans="1:10">
      <c r="A26" s="60"/>
      <c r="B26" s="64"/>
      <c r="C26" s="17"/>
      <c r="D26" s="48"/>
      <c r="E26" s="48"/>
      <c r="F26" s="48"/>
      <c r="G26" s="59"/>
      <c r="H26" s="17"/>
      <c r="I26" s="17"/>
      <c r="J26" s="22"/>
    </row>
    <row r="27" spans="1:10">
      <c r="A27" s="60"/>
      <c r="B27" s="64"/>
      <c r="C27" s="17"/>
      <c r="D27" s="48"/>
      <c r="E27" s="48"/>
      <c r="F27" s="48"/>
      <c r="G27" s="59"/>
      <c r="H27" s="17"/>
      <c r="I27" s="17"/>
      <c r="J27" s="22"/>
    </row>
    <row r="28" spans="1:10">
      <c r="A28" s="60"/>
      <c r="B28" s="64"/>
      <c r="C28" s="17"/>
      <c r="D28" s="48"/>
      <c r="E28" s="48"/>
      <c r="F28" s="48"/>
      <c r="G28" s="59"/>
      <c r="H28" s="17"/>
      <c r="I28" s="17"/>
      <c r="J28" s="22"/>
    </row>
    <row r="29" spans="1:10">
      <c r="A29" s="60"/>
      <c r="B29" s="64"/>
      <c r="C29" s="17"/>
      <c r="D29" s="48"/>
      <c r="E29" s="48"/>
      <c r="F29" s="48"/>
      <c r="G29" s="59"/>
      <c r="H29" s="17"/>
      <c r="I29" s="17"/>
      <c r="J29" s="22"/>
    </row>
    <row r="30" spans="1:10">
      <c r="A30" s="60"/>
      <c r="B30" s="64"/>
      <c r="C30" s="17"/>
      <c r="D30" s="48"/>
      <c r="E30" s="48"/>
      <c r="F30" s="48"/>
      <c r="G30" s="59"/>
      <c r="H30" s="17"/>
      <c r="I30" s="17"/>
      <c r="J30" s="22"/>
    </row>
    <row r="31" spans="1:10">
      <c r="A31" s="60"/>
      <c r="B31" s="64"/>
      <c r="C31" s="17"/>
      <c r="D31" s="48"/>
      <c r="E31" s="48"/>
      <c r="F31" s="48"/>
      <c r="G31" s="59"/>
      <c r="H31" s="17"/>
      <c r="I31" s="17"/>
      <c r="J31" s="22"/>
    </row>
    <row r="32" spans="1:10">
      <c r="A32" s="60"/>
      <c r="B32" s="64"/>
      <c r="C32" s="17"/>
      <c r="D32" s="48"/>
      <c r="E32" s="48"/>
      <c r="F32" s="48"/>
      <c r="G32" s="59"/>
      <c r="H32" s="17"/>
      <c r="I32" s="17"/>
      <c r="J32" s="22"/>
    </row>
    <row r="33" spans="1:10">
      <c r="A33" s="60"/>
      <c r="B33" s="64"/>
      <c r="C33" s="17"/>
      <c r="D33" s="48"/>
      <c r="E33" s="48"/>
      <c r="F33" s="48"/>
      <c r="G33" s="59"/>
      <c r="H33" s="17"/>
      <c r="I33" s="17"/>
      <c r="J33" s="22"/>
    </row>
    <row r="34" spans="1:10">
      <c r="A34" s="60"/>
      <c r="B34" s="64"/>
      <c r="C34" s="17"/>
      <c r="D34" s="48"/>
      <c r="E34" s="48"/>
      <c r="F34" s="48"/>
      <c r="G34" s="59"/>
      <c r="H34" s="17"/>
      <c r="I34" s="17"/>
      <c r="J34" s="22"/>
    </row>
    <row r="35" spans="1:10">
      <c r="A35" s="60"/>
      <c r="B35" s="64"/>
      <c r="C35" s="17"/>
      <c r="D35" s="48"/>
      <c r="E35" s="48"/>
      <c r="F35" s="48"/>
      <c r="G35" s="59"/>
      <c r="H35" s="17"/>
      <c r="I35" s="17"/>
      <c r="J35" s="22"/>
    </row>
    <row r="36" spans="1:10">
      <c r="A36" s="60"/>
      <c r="B36" s="64"/>
      <c r="C36" s="17"/>
      <c r="D36" s="48"/>
      <c r="E36" s="48"/>
      <c r="F36" s="48"/>
      <c r="G36" s="59"/>
      <c r="H36" s="17"/>
      <c r="I36" s="17"/>
      <c r="J36" s="22"/>
    </row>
    <row r="37" spans="1:10">
      <c r="A37" s="60"/>
      <c r="B37" s="64"/>
      <c r="C37" s="17"/>
      <c r="D37" s="48"/>
      <c r="E37" s="48"/>
      <c r="F37" s="48"/>
      <c r="G37" s="59"/>
      <c r="H37" s="17"/>
      <c r="I37" s="17"/>
      <c r="J37" s="22"/>
    </row>
    <row r="38" spans="1:10">
      <c r="A38" s="60"/>
      <c r="B38" s="64"/>
      <c r="C38" s="17"/>
      <c r="D38" s="48"/>
      <c r="E38" s="48"/>
      <c r="F38" s="48"/>
      <c r="G38" s="59"/>
      <c r="H38" s="17"/>
      <c r="I38" s="17"/>
      <c r="J38" s="22"/>
    </row>
    <row r="39" spans="1:10">
      <c r="A39" s="60"/>
      <c r="B39" s="64"/>
      <c r="C39" s="17"/>
      <c r="D39" s="48"/>
      <c r="E39" s="48"/>
      <c r="F39" s="48"/>
      <c r="G39" s="59"/>
      <c r="H39" s="17"/>
      <c r="I39" s="17"/>
      <c r="J39" s="22"/>
    </row>
    <row r="40" spans="1:10">
      <c r="A40" s="60"/>
      <c r="B40" s="64"/>
      <c r="C40" s="17"/>
      <c r="D40" s="48"/>
      <c r="E40" s="48"/>
      <c r="F40" s="48"/>
      <c r="G40" s="59"/>
      <c r="H40" s="17"/>
      <c r="I40" s="17"/>
      <c r="J40" s="22"/>
    </row>
    <row r="41" spans="1:10">
      <c r="A41" s="60"/>
      <c r="B41" s="64"/>
      <c r="C41" s="17"/>
      <c r="D41" s="48"/>
      <c r="E41" s="48"/>
      <c r="F41" s="48"/>
      <c r="G41" s="59"/>
      <c r="H41" s="17"/>
      <c r="I41" s="17"/>
      <c r="J41" s="22"/>
    </row>
    <row r="42" spans="1:10">
      <c r="A42" s="60"/>
      <c r="B42" s="64"/>
      <c r="C42" s="17"/>
      <c r="D42" s="48"/>
      <c r="E42" s="48"/>
      <c r="F42" s="48"/>
      <c r="G42" s="59"/>
      <c r="H42" s="17"/>
      <c r="I42" s="17"/>
      <c r="J42" s="22"/>
    </row>
    <row r="43" spans="1:10">
      <c r="A43" s="60"/>
      <c r="B43" s="64"/>
      <c r="C43" s="17"/>
      <c r="D43" s="48"/>
      <c r="E43" s="48"/>
      <c r="F43" s="48"/>
      <c r="G43" s="59"/>
      <c r="H43" s="17"/>
      <c r="I43" s="17"/>
      <c r="J43" s="22"/>
    </row>
    <row r="44" spans="1:10">
      <c r="A44" s="60"/>
      <c r="B44" s="64"/>
      <c r="C44" s="17"/>
      <c r="D44" s="48"/>
      <c r="E44" s="48"/>
      <c r="F44" s="48"/>
      <c r="G44" s="59"/>
      <c r="H44" s="17"/>
      <c r="I44" s="17"/>
      <c r="J44" s="2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F9E9-A36E-4BD7-9DAE-1460720F12A1}">
  <dimension ref="A1"/>
  <sheetViews>
    <sheetView workbookViewId="0"/>
  </sheetViews>
  <sheetFormatPr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한국연구산업협회</dc:creator>
  <cp:keywords/>
  <dc:description/>
  <cp:lastModifiedBy/>
  <cp:revision>3</cp:revision>
  <dcterms:created xsi:type="dcterms:W3CDTF">2025-02-20T01:17:50Z</dcterms:created>
  <dcterms:modified xsi:type="dcterms:W3CDTF">2026-03-18T00:17:02Z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0x01010043373D31806E5D4F9381F1AD85B9C060</vt:lpwstr>
  </property>
  <property fmtid="{D5CDD505-2E9C-101B-9397-08002B2CF9AE}" pid="3" name="MediaServiceImageTags">
    <vt:lpwstr/>
  </property>
</Properties>
</file>